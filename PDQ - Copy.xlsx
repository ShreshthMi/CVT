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 Main\Innovations\Frauscher Validation Application\Phase 2 Input Files From AE\Final Inputs\"/>
    </mc:Choice>
  </mc:AlternateContent>
  <xr:revisionPtr revIDLastSave="0" documentId="13_ncr:1_{D1F92212-D4DE-4E53-9D9F-DE547B928B24}" xr6:coauthVersionLast="47" xr6:coauthVersionMax="47" xr10:uidLastSave="{00000000-0000-0000-0000-000000000000}"/>
  <bookViews>
    <workbookView xWindow="-108" yWindow="-108" windowWidth="23256" windowHeight="13896" firstSheet="1" activeTab="2" xr2:uid="{4B79E0EE-87B1-4332-8F26-4C3E247A716D}"/>
  </bookViews>
  <sheets>
    <sheet name="Cover Page" sheetId="7" state="hidden" r:id="rId1"/>
    <sheet name="PDQ" sheetId="11" r:id="rId2"/>
    <sheet name="CQ-IR" sheetId="10" r:id="rId3"/>
    <sheet name="Control table" sheetId="9" r:id="rId4"/>
    <sheet name="Data transmission Inputs" sheetId="12" r:id="rId5"/>
    <sheet name="Design Questionnaire" sheetId="1" state="hidden" r:id="rId6"/>
    <sheet name="Annexure 1" sheetId="5" state="hidden" r:id="rId7"/>
    <sheet name="Legend" sheetId="2" state="hidden" r:id="rId8"/>
    <sheet name="DD List" sheetId="4" state="hidden" r:id="rId9"/>
    <sheet name="Revision History" sheetId="3" state="hidden" r:id="rId10"/>
  </sheets>
  <externalReferences>
    <externalReference r:id="rId11"/>
  </externalReferences>
  <definedNames>
    <definedName name="_xlnm._FilterDatabase" localSheetId="3" hidden="1">'Control table'!#REF!</definedName>
    <definedName name="DMM">'[1]DMM Action Plan tracker 2006'!$A$8:$K$65536</definedName>
    <definedName name="JL">#REF!</definedName>
    <definedName name="_xlnm.Print_Area" localSheetId="5">'Design Questionnaire'!$A$1:$H$93</definedName>
    <definedName name="_xlnm.Print_Titles" localSheetId="5">'Design Questionnaire'!$1:$16</definedName>
    <definedName name="Prob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1" l="1"/>
  <c r="A19" i="1" s="1"/>
  <c r="A20" i="1" l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8" i="1"/>
  <c r="A49" i="1" l="1"/>
  <c r="A39" i="1"/>
  <c r="A40" i="1" s="1"/>
  <c r="A41" i="1" s="1"/>
  <c r="A42" i="1" s="1"/>
  <c r="A43" i="1" s="1"/>
  <c r="A44" i="1" s="1"/>
  <c r="A45" i="1" s="1"/>
  <c r="A46" i="1" s="1"/>
  <c r="A47" i="1" s="1"/>
  <c r="A62" i="1" l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3" i="1" l="1"/>
  <c r="A66" i="1" s="1"/>
  <c r="A70" i="1" s="1"/>
  <c r="A71" i="1" s="1"/>
  <c r="A72" i="1" s="1"/>
  <c r="A73" i="1" s="1"/>
  <c r="A74" i="1" s="1"/>
  <c r="A75" i="1" s="1"/>
  <c r="A77" i="1"/>
  <c r="A80" i="1" l="1"/>
  <c r="A78" i="1"/>
  <c r="A86" i="1" l="1"/>
  <c r="A81" i="1"/>
  <c r="A82" i="1" s="1"/>
  <c r="A83" i="1" s="1"/>
  <c r="A84" i="1" s="1"/>
  <c r="A87" i="1" l="1"/>
  <c r="A88" i="1" s="1"/>
  <c r="A89" i="1" s="1"/>
</calcChain>
</file>

<file path=xl/sharedStrings.xml><?xml version="1.0" encoding="utf-8"?>
<sst xmlns="http://schemas.openxmlformats.org/spreadsheetml/2006/main" count="708" uniqueCount="517">
  <si>
    <t>Design Questionnaire (DQ)</t>
  </si>
  <si>
    <t>FSTI/AD/QSF/PDQ</t>
  </si>
  <si>
    <t>Version 12</t>
  </si>
  <si>
    <t>Classification 2 - Internal</t>
  </si>
  <si>
    <t>Language: EN</t>
  </si>
  <si>
    <t>Project Code :</t>
  </si>
  <si>
    <t>Project Design Questionnaire - IN</t>
  </si>
  <si>
    <t>Created by :</t>
  </si>
  <si>
    <t>Rev :</t>
  </si>
  <si>
    <t xml:space="preserve">Date : </t>
  </si>
  <si>
    <t>Sl. No.</t>
  </si>
  <si>
    <t>IFC Design Questionnaire</t>
  </si>
  <si>
    <t>Response</t>
  </si>
  <si>
    <t>Remarks</t>
  </si>
  <si>
    <t>Architecture &amp; Interface</t>
  </si>
  <si>
    <t>System Architecture</t>
  </si>
  <si>
    <t>Station - Centralised</t>
  </si>
  <si>
    <t>Size of Cubicle</t>
  </si>
  <si>
    <t>35U -Full Cubicle with Glass Door</t>
  </si>
  <si>
    <t>Should the system use a serial interface, parallel interface?</t>
  </si>
  <si>
    <t>Parallel Interface</t>
  </si>
  <si>
    <t>If a parallel interface is used, should it be with or without a relay?</t>
  </si>
  <si>
    <t>With Relay</t>
  </si>
  <si>
    <t>What voltage is needed for the axle counter cubicle cooling fan?</t>
  </si>
  <si>
    <t>24V</t>
  </si>
  <si>
    <t>Existing FAdC Network: Is the FAdC system being installed as part of an existing FAdC network? If so, how should AEB and COM board IDs be planned to avoid duplication</t>
  </si>
  <si>
    <t>No</t>
  </si>
  <si>
    <t>Is there a need of LV from an adjacent location to the central location, and if so, should it be through the Data Transfer (DT) mode?</t>
  </si>
  <si>
    <t>Relay Placement</t>
  </si>
  <si>
    <t>What type of Q-series relays are needed?</t>
  </si>
  <si>
    <t>Can be updated in As-built</t>
  </si>
  <si>
    <t>Where should the Q-series relays be placed?</t>
  </si>
  <si>
    <t>Customer Relay Rack</t>
  </si>
  <si>
    <t>Where should the OEN relays be placed?</t>
  </si>
  <si>
    <t>Which type of timer relays to be considered?</t>
  </si>
  <si>
    <t>Where should the timer relays be placed?</t>
  </si>
  <si>
    <t>Not Applicable</t>
  </si>
  <si>
    <t>What is the name of the wheel sensor quad cable termination rack?</t>
  </si>
  <si>
    <t>Yes - Details Available in Remarks</t>
  </si>
  <si>
    <t>CTR</t>
  </si>
  <si>
    <t>Reset Arrangements</t>
  </si>
  <si>
    <t>Where should the reset box be placed?</t>
  </si>
  <si>
    <t>Reset Cubicle</t>
  </si>
  <si>
    <t>Individual track section indication plates is required.?</t>
  </si>
  <si>
    <t>Is track section duplication necessary for reset/indication purposes?</t>
  </si>
  <si>
    <t>Distance between Reset Cubicle to ACC.
(To determine the AC immunised relays where the distance &gt;100 Mtrs.)</t>
  </si>
  <si>
    <t>Track Synchronisation is required.?</t>
  </si>
  <si>
    <t>Is auto reset required from the conventional track? If so, please specify the type of axle counter (DC/AC/AFTC/ACS2000/Competitor) and provide any additional details.</t>
  </si>
  <si>
    <t>Communication</t>
  </si>
  <si>
    <t>What type of connection should be used for communication between stations/locations (optical fiber cable or copper)?</t>
  </si>
  <si>
    <t>Switch to be considered</t>
  </si>
  <si>
    <t xml:space="preserve">Interface Design template standards </t>
  </si>
  <si>
    <t>What is the required template standard for the drawings?</t>
  </si>
  <si>
    <t>Frauscher Standard</t>
  </si>
  <si>
    <t>Should the drawings be A2 or A3 size?</t>
  </si>
  <si>
    <t>A3 Size</t>
  </si>
  <si>
    <t>Is there a specific standard for numbering the sheets?</t>
  </si>
  <si>
    <t xml:space="preserve">Are there any specific formatting requirements for the index sheet? </t>
  </si>
  <si>
    <t>Configuration Questionnaire - IR</t>
  </si>
  <si>
    <t>To be filled by PjM</t>
  </si>
  <si>
    <t>Is the SIP or track layout approved?</t>
  </si>
  <si>
    <t xml:space="preserve">Approved </t>
  </si>
  <si>
    <t>Range of ID for AEB &amp; COM</t>
  </si>
  <si>
    <t>1 to 4095</t>
  </si>
  <si>
    <t>2: Preperatory Reset</t>
  </si>
  <si>
    <t>1: Direct Reset</t>
  </si>
  <si>
    <t>7: Disable - For SAT</t>
  </si>
  <si>
    <t>type-specific protection code :</t>
  </si>
  <si>
    <t>0xb192f6cd</t>
  </si>
  <si>
    <t>1: 1st partial traversing</t>
  </si>
  <si>
    <t>0: Failsafe clear indication</t>
  </si>
  <si>
    <t>3: Clearing of track or partial traversing error</t>
  </si>
  <si>
    <t>6: Reset</t>
  </si>
  <si>
    <t>Behaviour input 3 (BEHAV_INPUT3):</t>
  </si>
  <si>
    <t>7: Disable</t>
  </si>
  <si>
    <t>Is the CHC functionality required?</t>
  </si>
  <si>
    <t>Yes</t>
  </si>
  <si>
    <t>Is the ECHC functionality required?</t>
  </si>
  <si>
    <t xml:space="preserve">2: 2 system occupancies </t>
  </si>
  <si>
    <t>Is the supervisor functionality used?</t>
  </si>
  <si>
    <t>3: Preparatory restricted reset</t>
  </si>
  <si>
    <t xml:space="preserve">2: 2 resets </t>
  </si>
  <si>
    <t>Is the synchronisation functionality used? If yes, please provide details.</t>
  </si>
  <si>
    <t>Are data transmitted via IO EXB? If yes, please provide details.</t>
  </si>
  <si>
    <t>FDS is required? If yes please provide FDS allocation chart.</t>
  </si>
  <si>
    <t>Yes refer remarks for the FDS allocation details</t>
  </si>
  <si>
    <t>S.No</t>
  </si>
  <si>
    <t>Track Section Name</t>
  </si>
  <si>
    <t>Dp`s</t>
  </si>
  <si>
    <t>Reset Type</t>
  </si>
  <si>
    <t>Track Output</t>
  </si>
  <si>
    <t>Preparatory reset without LV</t>
  </si>
  <si>
    <t>PHYSICAL</t>
  </si>
  <si>
    <t>Project Design Questionnaire</t>
  </si>
  <si>
    <t>Project Code</t>
  </si>
  <si>
    <t>LOA Tender No</t>
  </si>
  <si>
    <t>Project</t>
  </si>
  <si>
    <t>Customer</t>
  </si>
  <si>
    <t>End User</t>
  </si>
  <si>
    <t>Project Description</t>
  </si>
  <si>
    <t>FR Scope of work</t>
  </si>
  <si>
    <t>Questionnaire</t>
  </si>
  <si>
    <t>Quantity (as applicable)</t>
  </si>
  <si>
    <t>Reference /Responded By</t>
  </si>
  <si>
    <t>Date</t>
  </si>
  <si>
    <t>Design inputs ACS2000 / FAdC-R2</t>
  </si>
  <si>
    <t>Name of the System</t>
  </si>
  <si>
    <t>Available in PLO</t>
  </si>
  <si>
    <t>What is the Detection Points (DP) quantity?</t>
  </si>
  <si>
    <t>What is the desired length for the wheel sensor cables (5m, 10m, or 15m)?</t>
  </si>
  <si>
    <t>5 Mtrs</t>
  </si>
  <si>
    <t>BoM</t>
  </si>
  <si>
    <t>10 Mtrs</t>
  </si>
  <si>
    <t>15 Mtrs</t>
  </si>
  <si>
    <t>Has the SIP and track layout been approved?</t>
  </si>
  <si>
    <t>What is the planned system architecture for the project ?</t>
  </si>
  <si>
    <t>With FCT we can get this details</t>
  </si>
  <si>
    <t>Is boundary segregation required for the decentralized architecture, and if so, where (central, hut, goomty)?</t>
  </si>
  <si>
    <t>Is track section duplication necessary for reset purposes?</t>
  </si>
  <si>
    <t>How many spare slots are required for AEB/IO-EXB?</t>
  </si>
  <si>
    <t>Where should the non-vital relays (OEN or other types) be placed?</t>
  </si>
  <si>
    <t>What is the desired type of axle counter cubicle?</t>
  </si>
  <si>
    <t>Is the Frauscher Diagnostic System (FDS) required for the project?</t>
  </si>
  <si>
    <t>Design inputs for ACS2000</t>
  </si>
  <si>
    <t>What is the desired type of IMC ?</t>
  </si>
  <si>
    <t xml:space="preserve">Can be removed </t>
  </si>
  <si>
    <t>What type of ACB is needed?</t>
  </si>
  <si>
    <t>What is the required backplane type for the system?</t>
  </si>
  <si>
    <t>How many spare slots are necessary for the system?</t>
  </si>
  <si>
    <t>Is a DIOB required? If so, please provide specific details ?</t>
  </si>
  <si>
    <t>Is a communication modem needed for this system?</t>
  </si>
  <si>
    <t>If a modem is required, what type of media should be used (copper or optical fiber cable)?</t>
  </si>
  <si>
    <t>In transmission mode, is it necessary for a relay to be picked up at both sides of the system?</t>
  </si>
  <si>
    <t>Is internal control of the counting head required?</t>
  </si>
  <si>
    <t>Design inputs for FAdC R2</t>
  </si>
  <si>
    <t>What level of redundancy is required for the FAdC system?</t>
  </si>
  <si>
    <t>Is CAN-BUS segregation required for the system?</t>
  </si>
  <si>
    <t>Should the CAN-BUS to be segregated for upline/downline, or main/redundant lines?</t>
  </si>
  <si>
    <t>What type of COM board is required for the system?</t>
  </si>
  <si>
    <t>Is a supervisor track section required for the FAdC system?</t>
  </si>
  <si>
    <t>Provide the Ethernet switch IP address, subnet mask, and gateways for COM and FDS?</t>
  </si>
  <si>
    <t>Is the IO-EXB board required to be used in data transmission mode? If so, in which mode (single, dual, or quad)?</t>
  </si>
  <si>
    <t>Reset</t>
  </si>
  <si>
    <t>Metro Projects</t>
  </si>
  <si>
    <t>Main Line</t>
  </si>
  <si>
    <t>Depot</t>
  </si>
  <si>
    <t>Wayside Projects</t>
  </si>
  <si>
    <t>Main Line - Plain Track Sections</t>
  </si>
  <si>
    <t>Loop Line - Plain Track Sections</t>
  </si>
  <si>
    <t>Point zones</t>
  </si>
  <si>
    <t>What is the desired reset type for the block section?</t>
  </si>
  <si>
    <t>Requirement of Supervisory Reset?</t>
  </si>
  <si>
    <t>To be discussed with BiD for Metros</t>
  </si>
  <si>
    <t>Reset input will be provided from?</t>
  </si>
  <si>
    <t>Trolley suppression</t>
  </si>
  <si>
    <t>Whether external De-act is required for end DP? 
If so please provide following details (Track section Name, relay contact numbers, relay position, cable type, etc…)</t>
  </si>
  <si>
    <t>Interface Design template standards (Applicable for Metros)</t>
  </si>
  <si>
    <t>Are there any specific formatting requirements for the index sheet? If so, please provide details.</t>
  </si>
  <si>
    <t>Power Supply</t>
  </si>
  <si>
    <t>If there are multiple axle counter cubicles, should separate power supplies be provided?</t>
  </si>
  <si>
    <t>For UP and DN lines (or main and redundant systems), should separate power supplies be provided?</t>
  </si>
  <si>
    <t>For single system - UP/DN
For Dual detection (100% redentant) - Main and Redundant</t>
  </si>
  <si>
    <t>Remarks:</t>
  </si>
  <si>
    <r>
      <t xml:space="preserve">Note: 
</t>
    </r>
    <r>
      <rPr>
        <sz val="10"/>
        <color theme="1" tint="0.14999847407452621"/>
        <rFont val="Amasis MT Pro"/>
        <family val="1"/>
      </rPr>
      <t xml:space="preserve">1) PDQ is Frauscher Internal Document. Shall not to be shared with customer.
2) PDQ shall be common document for all the Stations/Locations within the project; if requirement is same and all the station/loc name shall be mentioned in the PDQ
</t>
    </r>
  </si>
  <si>
    <t>Annexure-1 for more number of stations</t>
  </si>
  <si>
    <t>S No</t>
  </si>
  <si>
    <t>Station Name</t>
  </si>
  <si>
    <t>DP Quantity</t>
  </si>
  <si>
    <t>Legend</t>
  </si>
  <si>
    <t>AC</t>
  </si>
  <si>
    <t>Alternating Current</t>
  </si>
  <si>
    <t>ACC</t>
  </si>
  <si>
    <t>Axle Counter Cubicle</t>
  </si>
  <si>
    <t>ACPR</t>
  </si>
  <si>
    <t>Axle Counting Proving Relay</t>
  </si>
  <si>
    <t>ACS2000</t>
  </si>
  <si>
    <t>Axle Counter System 2000</t>
  </si>
  <si>
    <t>AEB</t>
  </si>
  <si>
    <t>Advanced Evaluation Board</t>
  </si>
  <si>
    <t>AFTC</t>
  </si>
  <si>
    <t>Audio Frequency Track Circuit</t>
  </si>
  <si>
    <t>BGT</t>
  </si>
  <si>
    <t>Board Rack</t>
  </si>
  <si>
    <t>BP-EXB</t>
  </si>
  <si>
    <t>Backplane for Extension Boards</t>
  </si>
  <si>
    <t>BP-PWR</t>
  </si>
  <si>
    <t>Backplane for Power Supply</t>
  </si>
  <si>
    <t>BRC</t>
  </si>
  <si>
    <t>Board Rack Configuration</t>
  </si>
  <si>
    <t>CAN</t>
  </si>
  <si>
    <t>Controller Area Network</t>
  </si>
  <si>
    <t>COM-AdC</t>
  </si>
  <si>
    <t>Communication Board for Advanced Counter</t>
  </si>
  <si>
    <t>COM-FSE</t>
  </si>
  <si>
    <t xml:space="preserve">Communication Board with Implemented Frauscher Safe Ethernet Protocol </t>
  </si>
  <si>
    <t>COM-FSFB</t>
  </si>
  <si>
    <t>Communication Board Fail Safe Field Bus</t>
  </si>
  <si>
    <t>CT rack</t>
  </si>
  <si>
    <t xml:space="preserve">Cable Termination Rack </t>
  </si>
  <si>
    <t>DC</t>
  </si>
  <si>
    <t>Direct Current</t>
  </si>
  <si>
    <t>DIOB</t>
  </si>
  <si>
    <t>Digital Input/Output Board</t>
  </si>
  <si>
    <t>DP</t>
  </si>
  <si>
    <t>Detection Point</t>
  </si>
  <si>
    <t>FAdC R2</t>
  </si>
  <si>
    <t>Frauscher Advanced Counter Release 2</t>
  </si>
  <si>
    <t>FAT</t>
  </si>
  <si>
    <t>Factory Acceptance Test</t>
  </si>
  <si>
    <t>FDS</t>
  </si>
  <si>
    <t>Frauscher Diagnostic System</t>
  </si>
  <si>
    <t>FTOT</t>
  </si>
  <si>
    <t>Fuse Terminal Output Terminal</t>
  </si>
  <si>
    <t>ID</t>
  </si>
  <si>
    <t>Identifier</t>
  </si>
  <si>
    <t>IMC</t>
  </si>
  <si>
    <t>Evaluation Board</t>
  </si>
  <si>
    <t>IO EXB</t>
  </si>
  <si>
    <t>Input Output Extension Board</t>
  </si>
  <si>
    <t>IPS</t>
  </si>
  <si>
    <t>Integrated Power Supply</t>
  </si>
  <si>
    <t>LOA</t>
  </si>
  <si>
    <t>Letter of Acceptance</t>
  </si>
  <si>
    <t>LVB</t>
  </si>
  <si>
    <t>Line Verification Box</t>
  </si>
  <si>
    <t>LVPR</t>
  </si>
  <si>
    <t>Line Verification Proving Relay</t>
  </si>
  <si>
    <t>OFC</t>
  </si>
  <si>
    <t>Optical Fiber Cable</t>
  </si>
  <si>
    <t>PSC</t>
  </si>
  <si>
    <t>Power Supply with Crowbar</t>
  </si>
  <si>
    <t>SAT</t>
  </si>
  <si>
    <t>Site Acceptance Test</t>
  </si>
  <si>
    <t>SER</t>
  </si>
  <si>
    <t>Signal Equipment Room</t>
  </si>
  <si>
    <t>SIP</t>
  </si>
  <si>
    <t>Signal Interlocking Plan</t>
  </si>
  <si>
    <t>TLJB</t>
  </si>
  <si>
    <t>Track Lead Junction Box</t>
  </si>
  <si>
    <t>TS</t>
  </si>
  <si>
    <t>Track Section</t>
  </si>
  <si>
    <t>UPS</t>
  </si>
  <si>
    <t>Uninterrupted Power Supply</t>
  </si>
  <si>
    <t>VDU</t>
  </si>
  <si>
    <t>Visual Display Unit</t>
  </si>
  <si>
    <t>Section 1</t>
  </si>
  <si>
    <t>Section 3</t>
  </si>
  <si>
    <t>Section 5</t>
  </si>
  <si>
    <t>IMC010</t>
  </si>
  <si>
    <t>5.01 &amp; 5.02</t>
  </si>
  <si>
    <t>Conditional/Restricted Hard Reset with LV</t>
  </si>
  <si>
    <t>Remarks (For More details)</t>
  </si>
  <si>
    <t>Conditional/Restricted Preparatory reset without LV</t>
  </si>
  <si>
    <t>Conditional/Restricted Preparatory reset with LV</t>
  </si>
  <si>
    <t>Main table</t>
  </si>
  <si>
    <t>Provision of Multi Section Digital Axle Counter (MSDAC) system to be used for Yard application_LC GATE</t>
  </si>
  <si>
    <t>ACB119-Hard reset</t>
  </si>
  <si>
    <t>Others - Need written document from Customer</t>
  </si>
  <si>
    <t>Provision of Multi Section Digital Axle Counter (MSDAC) system to be used for Auto Block Section</t>
  </si>
  <si>
    <t>ACB130-Preparatory reset</t>
  </si>
  <si>
    <t>Provision of Multi Section Digital Axle Counter (MSDAC) system to be used for Absolute Block Section</t>
  </si>
  <si>
    <t>ACB129-Hard reset</t>
  </si>
  <si>
    <t>Provision of Multi Section Digital Axle Counter (MSDAC) system to be used for Centralised Yard</t>
  </si>
  <si>
    <t>No reset restriction in last axle counted in or Out</t>
  </si>
  <si>
    <t>VDU-EI Reset</t>
  </si>
  <si>
    <t>Provision of Multi Section Digital Axle Counter (MSDAC) system to be used for De-Centralised Yard</t>
  </si>
  <si>
    <t>Co-Operative Reset</t>
  </si>
  <si>
    <t>Provision of Multi Section Digital Axle Counter (MSDAC) system to be used for IBH</t>
  </si>
  <si>
    <t>3.05,3.06,
3.08 &amp; 3.09</t>
  </si>
  <si>
    <t>Required</t>
  </si>
  <si>
    <t>Local reset from Reset box without co-operation</t>
  </si>
  <si>
    <t>Provision of Multi Section Digital Axle Counter (MSDAC) system to be used for Metro Projects</t>
  </si>
  <si>
    <t xml:space="preserve">Not Required </t>
  </si>
  <si>
    <t>Provision of Multi Section Digital Axle Counter (MSDAC) system to be used for Ded`FC</t>
  </si>
  <si>
    <t>Restricted Preparatory Reset</t>
  </si>
  <si>
    <t>Design, Material Supply, Supervision of Installation &amp; Testing Commissioning</t>
  </si>
  <si>
    <t>Design &amp; Material Supply only</t>
  </si>
  <si>
    <t>COPPER</t>
  </si>
  <si>
    <t>Design Material Supply, Installation &amp; Testing Commissioning</t>
  </si>
  <si>
    <t>Main - OFC &amp; Redundant - Copper</t>
  </si>
  <si>
    <t>Reset Box</t>
  </si>
  <si>
    <t>Push Button</t>
  </si>
  <si>
    <t>VDU-EI</t>
  </si>
  <si>
    <t>Section 2</t>
  </si>
  <si>
    <t>Section 4</t>
  </si>
  <si>
    <t>2.01 &amp; 2.15</t>
  </si>
  <si>
    <t>Single Detection System</t>
  </si>
  <si>
    <t>Dual Detection System</t>
  </si>
  <si>
    <t>PSC Redundant</t>
  </si>
  <si>
    <t>Co-Operative Reset Panel</t>
  </si>
  <si>
    <t>COM Redundant</t>
  </si>
  <si>
    <t>Station - Decentralised</t>
  </si>
  <si>
    <t>PSC &amp; COM Redundant</t>
  </si>
  <si>
    <t>Auto Block</t>
  </si>
  <si>
    <t>Absolute Block</t>
  </si>
  <si>
    <t>Serial Interface</t>
  </si>
  <si>
    <t>IBH</t>
  </si>
  <si>
    <t>Metro</t>
  </si>
  <si>
    <t>Ded`FC</t>
  </si>
  <si>
    <t>LC Gate</t>
  </si>
  <si>
    <t>Without Relay(EI Type to be Provided in Remarks)</t>
  </si>
  <si>
    <t>Hard Reset with LV</t>
  </si>
  <si>
    <t>Preparatory reset with LV</t>
  </si>
  <si>
    <t>2.03,2.04 &amp; 2.05</t>
  </si>
  <si>
    <t xml:space="preserve">Yes </t>
  </si>
  <si>
    <t>Physical</t>
  </si>
  <si>
    <t>UP/DN Line Segregation</t>
  </si>
  <si>
    <t>Virtual</t>
  </si>
  <si>
    <t>Main/Redundant Segregartion</t>
  </si>
  <si>
    <t>Parallel Interface with Relay</t>
  </si>
  <si>
    <t>Parallel Interface without Relay</t>
  </si>
  <si>
    <t>COM-MS</t>
  </si>
  <si>
    <t>COM-EUX</t>
  </si>
  <si>
    <t>QNN1 2x6F/2B 24V DC</t>
  </si>
  <si>
    <t>QNN1 2x4F/4B 24VDC</t>
  </si>
  <si>
    <t>BP-PWR0</t>
  </si>
  <si>
    <t>QN1 12F/4B 24VDC</t>
  </si>
  <si>
    <t>BP-PWR4</t>
  </si>
  <si>
    <t>QN1 8F/8B 24VDC</t>
  </si>
  <si>
    <t>BP-PWR8</t>
  </si>
  <si>
    <t>3:(Preparatory Reset) - for FAT</t>
  </si>
  <si>
    <t>QNNA1 2x6F/2B 24V DC</t>
  </si>
  <si>
    <t>BP-PWR0 &amp; BP-PWR4</t>
  </si>
  <si>
    <t>7:Disable for SAT</t>
  </si>
  <si>
    <t>QNNA1 2x4F/4B 24VDC</t>
  </si>
  <si>
    <t>BP-PWR4 &amp; BP-PWR8</t>
  </si>
  <si>
    <t>QNA1 12F/4B 24VDC</t>
  </si>
  <si>
    <t>BP-PWR0 &amp; BP-PWR8</t>
  </si>
  <si>
    <t>QNA1 8F/8B 24VDC</t>
  </si>
  <si>
    <t>7: Counting Head Control</t>
  </si>
  <si>
    <t>QNA1K 6F/6B 24VDC</t>
  </si>
  <si>
    <t>BP-EXB1</t>
  </si>
  <si>
    <t>QSPA1 8F/8B 24VDC</t>
  </si>
  <si>
    <t>BP-EXB2</t>
  </si>
  <si>
    <t>BP-EXB4</t>
  </si>
  <si>
    <t>2.08 &amp; 2.09, 2.12</t>
  </si>
  <si>
    <t>BP-EXB8</t>
  </si>
  <si>
    <t>Frauscher Relay Rack</t>
  </si>
  <si>
    <t>BP-EXB1 &amp; BP-EXB2</t>
  </si>
  <si>
    <t>Axle Counter Rack</t>
  </si>
  <si>
    <t>BP-EXB2 &amp; BP-EXB4</t>
  </si>
  <si>
    <t>BP-EXB1 &amp; BP-EXB4</t>
  </si>
  <si>
    <t>Remarks (Diff Combination)</t>
  </si>
  <si>
    <t>Customer Scope</t>
  </si>
  <si>
    <t>Frauscher Scope</t>
  </si>
  <si>
    <t>Yes - Dedicated</t>
  </si>
  <si>
    <t>Yes - Virtual</t>
  </si>
  <si>
    <t>Yes - Both</t>
  </si>
  <si>
    <t>35U -Full Cubicle with Metal Door</t>
  </si>
  <si>
    <t>20U -Half Cubicle with Glass Door</t>
  </si>
  <si>
    <t>15U -Small Cubicle with Glass Door</t>
  </si>
  <si>
    <t>Entrance Cabinet</t>
  </si>
  <si>
    <t>Customer Specific - Network plan</t>
  </si>
  <si>
    <t>Single Mode</t>
  </si>
  <si>
    <t>Quad Mode</t>
  </si>
  <si>
    <t>Version</t>
  </si>
  <si>
    <t>Prepared by</t>
  </si>
  <si>
    <t>Changes/Comments</t>
  </si>
  <si>
    <t>R01</t>
  </si>
  <si>
    <t>-</t>
  </si>
  <si>
    <t>Initial issue</t>
  </si>
  <si>
    <t>R02</t>
  </si>
  <si>
    <t>Saravanan</t>
  </si>
  <si>
    <t>Sl. No. 1.11 &amp; 3.9 included</t>
  </si>
  <si>
    <t>R03</t>
  </si>
  <si>
    <t>Sl. No. 1.13, 1.14  &amp; 2.x included</t>
  </si>
  <si>
    <t>R04</t>
  </si>
  <si>
    <t>1.15, 2.2, 2.16</t>
  </si>
  <si>
    <t>R05</t>
  </si>
  <si>
    <t>Mary Rani &amp; Saravanan</t>
  </si>
  <si>
    <t>ACS and FAdC combined. Few new items included</t>
  </si>
  <si>
    <t>R06</t>
  </si>
  <si>
    <t>Pool Pandi &amp; Saravanan</t>
  </si>
  <si>
    <t>1). Few new items &amp; FAdC Configuration part included
2). Schedule tab included. 
3). File name changed as PDQ</t>
  </si>
  <si>
    <t>R07</t>
  </si>
  <si>
    <t>Updated/Added: 3.09, 4.08, 5.07, 8.05, 10.05, 10.06
Deleted: 7.01, 9.09</t>
  </si>
  <si>
    <t>R08</t>
  </si>
  <si>
    <t>Updated/Added: 1.07, 2.08, 4.10, 5.08, 6.01, 9.01, 9.03
Deleted: 5.02, 5.12, 9.01</t>
  </si>
  <si>
    <t>R09</t>
  </si>
  <si>
    <t>Updated/Added: 1.16, 1.21, 2.14, 2.19, 2.22
Deleted: 4.04, 4.06
Order re-arranged for 2.12, 213, 9.06
FSTI Holidays updated in schedule for 2020</t>
  </si>
  <si>
    <t>R10</t>
  </si>
  <si>
    <t>Saravanan/Chandan</t>
  </si>
  <si>
    <t xml:space="preserve">Drop down list updated for possible Questionnaire
Legend &amp; DD sheet included
Schedule sheet updated with Y2022 holidays
Password protection included to protect required cells
Few Questionnaires are modified/added/deleted </t>
  </si>
  <si>
    <t>R11</t>
  </si>
  <si>
    <t>Chandan/Poomani N</t>
  </si>
  <si>
    <t>As per latest practise complete sheet revised</t>
  </si>
  <si>
    <t>R12</t>
  </si>
  <si>
    <t>Poomani N</t>
  </si>
  <si>
    <t>Project specific Revision added</t>
  </si>
  <si>
    <t>R13</t>
  </si>
  <si>
    <t>Revised as per the Latest Practice</t>
  </si>
  <si>
    <t>Input is avaibale in control table</t>
  </si>
  <si>
    <t>0 (Open in normal status)</t>
  </si>
  <si>
    <t>1 (Closed in normal status)</t>
  </si>
  <si>
    <t>0 (Simulation of an occupancy enable)</t>
  </si>
  <si>
    <t>1 (Simulation of an occupancy disable)</t>
  </si>
  <si>
    <t>340 &amp; 610 Sec</t>
  </si>
  <si>
    <t>Wheel Sensor type (RSR_TYPE)</t>
  </si>
  <si>
    <t>0 (No evaluation of RSR)</t>
  </si>
  <si>
    <t>1(RSR 180)</t>
  </si>
  <si>
    <t>2(Not allowed)</t>
  </si>
  <si>
    <t>3(RSR123)</t>
  </si>
  <si>
    <t>FAdC - FAdC Auto reset</t>
  </si>
  <si>
    <t>Auto reset by timer circuit</t>
  </si>
  <si>
    <t>DP NAME</t>
  </si>
  <si>
    <t>POSITION</t>
  </si>
  <si>
    <t>E-CHC</t>
  </si>
  <si>
    <t>IN</t>
  </si>
  <si>
    <t>OUT</t>
  </si>
  <si>
    <t>1AXT1</t>
  </si>
  <si>
    <t>DP1A</t>
  </si>
  <si>
    <t>DP2A</t>
  </si>
  <si>
    <t>RESTRICTED RESET WITH LV</t>
  </si>
  <si>
    <t>1AXT2 (or) SUP1-AXT1</t>
  </si>
  <si>
    <t>NO</t>
  </si>
  <si>
    <t>ABOVE THE RAIL</t>
  </si>
  <si>
    <t>YES</t>
  </si>
  <si>
    <t>2AXT1</t>
  </si>
  <si>
    <t>DP3A</t>
  </si>
  <si>
    <t>RESTRICTED PREPARATORY RESET WITHOUT LV</t>
  </si>
  <si>
    <t>2AXT2 (or) SUP1-AXT1</t>
  </si>
  <si>
    <t>201AXT</t>
  </si>
  <si>
    <t>DP4,DP5</t>
  </si>
  <si>
    <t>RESTRICTED PREPARATORY RESET WITH LV</t>
  </si>
  <si>
    <t>NA</t>
  </si>
  <si>
    <t>SUP1-AXT1</t>
  </si>
  <si>
    <t>VIRTUAL</t>
  </si>
  <si>
    <t>1AXT1 (and) 2AXT1</t>
  </si>
  <si>
    <t>DP4</t>
  </si>
  <si>
    <t>1AXT2</t>
  </si>
  <si>
    <t>DP1B</t>
  </si>
  <si>
    <t>DP2B</t>
  </si>
  <si>
    <t>1AXT1 (or) SUP1-AXT2</t>
  </si>
  <si>
    <t>DP5</t>
  </si>
  <si>
    <t>2AXT2</t>
  </si>
  <si>
    <t>DP3B</t>
  </si>
  <si>
    <t>2AXT1 (or) SUP1-AXT2</t>
  </si>
  <si>
    <t>BELOW THE RAIL</t>
  </si>
  <si>
    <t>SUP1-AXT2</t>
  </si>
  <si>
    <t>1AXT2 (and) 2AXT2</t>
  </si>
  <si>
    <t>DATA SAFETY LEVEL</t>
  </si>
  <si>
    <t>OUTPUT DATA TRANSMISSION</t>
  </si>
  <si>
    <t>SAFETY_LEVEL_IN</t>
  </si>
  <si>
    <t>SAFETY_LEVEL_OUT</t>
  </si>
  <si>
    <t>SAFE_OUT_FDBCK_QUAD</t>
  </si>
  <si>
    <t>SOURCE DP NAME</t>
  </si>
  <si>
    <t>NMBR_OUT</t>
  </si>
  <si>
    <t>Prereset/Reset Combination when inactive reset restriction: Track(RESET_OUT)</t>
  </si>
  <si>
    <t>Prereset/Reset Combination when inactive reset restriction: Loopline(RESET_OUT)</t>
  </si>
  <si>
    <t>Prereset/Reset Combination when inactive reset restriction: Point Zone(RESET_OUT)</t>
  </si>
  <si>
    <t>Configuration Word</t>
  </si>
  <si>
    <t>OCC_EXT</t>
  </si>
  <si>
    <t>OCC_DELAY</t>
  </si>
  <si>
    <t xml:space="preserve">Behaviour after loss of communication </t>
  </si>
  <si>
    <t>COMM_FAIL</t>
  </si>
  <si>
    <t xml:space="preserve">Reset restriction at fault and/or power-up </t>
  </si>
  <si>
    <t>BEHAV_GE</t>
  </si>
  <si>
    <t xml:space="preserve">Clearing of track </t>
  </si>
  <si>
    <t>CLR_TRACK</t>
  </si>
  <si>
    <t>Prereset/Reset Combination when active reset restriction</t>
  </si>
  <si>
    <t>RESET_IN</t>
  </si>
  <si>
    <t xml:space="preserve">Behaviour of the AEB toggle switches in relation to reset </t>
  </si>
  <si>
    <t>BEHAV_RESET</t>
  </si>
  <si>
    <t>Behaviour of the AEB toggle switches in relation to Simulation</t>
  </si>
  <si>
    <t>BEHAV_SIMUL</t>
  </si>
  <si>
    <t xml:space="preserve">Number of partial traversings to cause a permanent occupied indication </t>
  </si>
  <si>
    <t>PARTIAL_COUNT</t>
  </si>
  <si>
    <t xml:space="preserve">Configuration output </t>
  </si>
  <si>
    <t>CLR_OCC</t>
  </si>
  <si>
    <t xml:space="preserve">Configuration auxiliary output 1 and normal status auxiliary output 1 </t>
  </si>
  <si>
    <t>AUX1_OUT</t>
  </si>
  <si>
    <t xml:space="preserve">Configuration auxiliary output 2 and normal status auxiliary output 2 </t>
  </si>
  <si>
    <t>AUX1_NO_NC</t>
  </si>
  <si>
    <t>AUX2_NO_NC</t>
  </si>
  <si>
    <t>AUX2_OUT</t>
  </si>
  <si>
    <t xml:space="preserve">Behaviour input 1 </t>
  </si>
  <si>
    <t>BEHAV_INPUT1</t>
  </si>
  <si>
    <t>Behaviour input 2</t>
  </si>
  <si>
    <t>BEHAV_INPUT2</t>
  </si>
  <si>
    <t>RESET_OP_TIME</t>
  </si>
  <si>
    <t>RESET_LD_TIME</t>
  </si>
  <si>
    <t xml:space="preserve">Behaviour of IO EXB toggle switches in relation to reset </t>
  </si>
  <si>
    <t>BEHAV_IOEXB</t>
  </si>
  <si>
    <t>TIMEOUT_VALUE</t>
  </si>
  <si>
    <t>INTERVAL</t>
  </si>
  <si>
    <t>IP_SWITCH_TIME</t>
  </si>
  <si>
    <t xml:space="preserve">Number of allowed system occupancies, which are suppressed per minute in case of active CHC </t>
  </si>
  <si>
    <t>SYSTEM_COUNT</t>
  </si>
  <si>
    <t>Reset type in case of clear supervisor</t>
  </si>
  <si>
    <t>RESET_TYPE</t>
  </si>
  <si>
    <t>RESET_DELAY</t>
  </si>
  <si>
    <t xml:space="preserve">Number of permitted resets by a clear supervisor section or by auto resets  </t>
  </si>
  <si>
    <t>SUPERVIS_COUNT</t>
  </si>
  <si>
    <t>SWITCH_GE</t>
  </si>
  <si>
    <t>SWITCH_GSF</t>
  </si>
  <si>
    <t>PRERESET_ACT_TIME</t>
  </si>
  <si>
    <t>Occupied status extension in ms</t>
  </si>
  <si>
    <t>Occupied status delay in ms</t>
  </si>
  <si>
    <t>1: Simulation of an occupancy disable</t>
  </si>
  <si>
    <t>1: Closed in Normal Status</t>
  </si>
  <si>
    <t>0: Open in Normal status</t>
  </si>
  <si>
    <t>Reset lead time in ms</t>
  </si>
  <si>
    <t>Reset operation time in ms</t>
  </si>
  <si>
    <t>Transmission interval in ms:</t>
  </si>
  <si>
    <t>340 &amp; 610</t>
  </si>
  <si>
    <t>Selection time out in ms:</t>
  </si>
  <si>
    <t>Stable time after IP Switching: time that passes before another switching takes place in seconds</t>
  </si>
  <si>
    <t>Reset delay supervisor in seconds</t>
  </si>
  <si>
    <t>Anti-toggle time for reset restriction in ms</t>
  </si>
  <si>
    <t>Anti-toggle time for reset ability in ms</t>
  </si>
  <si>
    <t>Pre-Reset active time in seconds</t>
  </si>
  <si>
    <t xml:space="preserve">System Redundancy? </t>
  </si>
  <si>
    <t xml:space="preserve">AEB Equipment Version? </t>
  </si>
  <si>
    <t>GS05 and below</t>
  </si>
  <si>
    <t>Single</t>
  </si>
  <si>
    <t>IDENTIFICATION</t>
  </si>
  <si>
    <t>5 :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</si>
</sst>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theme="1"/>
      <name val="Arial"/>
      <family val="2"/>
    </font>
    <font>
      <sz val="10"/>
      <color theme="1"/>
      <name val="Amasis MT Pro"/>
      <family val="1"/>
    </font>
    <font>
      <sz val="11"/>
      <color rgb="FF000000"/>
      <name val="Calibri"/>
      <family val="2"/>
      <scheme val="minor"/>
    </font>
    <font>
      <b/>
      <sz val="12"/>
      <color theme="1"/>
      <name val="Amasis MT Pro"/>
      <family val="1"/>
    </font>
    <font>
      <sz val="11"/>
      <color theme="1"/>
      <name val="Amasis MT Pro"/>
      <family val="1"/>
    </font>
    <font>
      <sz val="10"/>
      <color theme="1" tint="0.14999847407452621"/>
      <name val="Amasis MT Pro"/>
      <family val="1"/>
    </font>
    <font>
      <b/>
      <sz val="12"/>
      <color theme="1" tint="0.14999847407452621"/>
      <name val="Amasis MT Pro"/>
      <family val="1"/>
    </font>
    <font>
      <b/>
      <sz val="11"/>
      <color theme="1" tint="0.14999847407452621"/>
      <name val="Amasis MT Pro"/>
      <family val="1"/>
    </font>
    <font>
      <sz val="8"/>
      <name val="Arial"/>
      <family val="2"/>
    </font>
    <font>
      <b/>
      <sz val="16"/>
      <color theme="1" tint="0.14999847407452621"/>
      <name val="Amasis MT Pro"/>
      <family val="1"/>
    </font>
    <font>
      <sz val="12"/>
      <color theme="1" tint="0.14999847407452621"/>
      <name val="Amasis MT Pro"/>
      <family val="1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0"/>
      <color theme="5"/>
      <name val="Arial"/>
      <family val="2"/>
    </font>
    <font>
      <b/>
      <sz val="9"/>
      <color theme="5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masis MT Pro Medium"/>
      <family val="1"/>
    </font>
    <font>
      <b/>
      <sz val="12"/>
      <color theme="1"/>
      <name val="Amasis MT Pro Medium"/>
      <family val="1"/>
    </font>
    <font>
      <b/>
      <sz val="12"/>
      <color theme="1"/>
      <name val="Arial"/>
      <family val="2"/>
    </font>
    <font>
      <sz val="10"/>
      <color theme="1" tint="0.14999847407452621"/>
      <name val="Cambria"/>
      <family val="1"/>
    </font>
    <font>
      <sz val="10"/>
      <color theme="1"/>
      <name val="Amasis MT Pro Medium"/>
      <family val="1"/>
    </font>
    <font>
      <b/>
      <sz val="22"/>
      <color theme="1"/>
      <name val="Amasis MT Pro Medium"/>
      <family val="1"/>
    </font>
    <font>
      <sz val="10"/>
      <color rgb="FFFF0000"/>
      <name val="Aptos Narrow"/>
      <family val="2"/>
    </font>
    <font>
      <b/>
      <sz val="12"/>
      <color rgb="FF262626"/>
      <name val="Amasis MT Pro"/>
      <family val="1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2E4057"/>
      </patternFill>
    </fill>
    <fill>
      <patternFill patternType="solid">
        <fgColor rgb="FF3A6B7E"/>
      </patternFill>
    </fill>
    <fill>
      <patternFill patternType="solid">
        <fgColor rgb="FFD9E2EC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/>
      <bottom style="dashed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theme="4" tint="0.39997558519241921"/>
      </left>
      <right/>
      <top/>
      <bottom style="dashed">
        <color theme="4" tint="0.39997558519241921"/>
      </bottom>
      <diagonal/>
    </border>
    <border>
      <left/>
      <right/>
      <top/>
      <bottom style="dashed">
        <color theme="4" tint="0.39997558519241921"/>
      </bottom>
      <diagonal/>
    </border>
    <border>
      <left/>
      <right style="dashed">
        <color theme="4" tint="0.39997558519241921"/>
      </right>
      <top/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7" fillId="0" borderId="0"/>
  </cellStyleXfs>
  <cellXfs count="151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15" fontId="5" fillId="0" borderId="2" xfId="0" applyNumberFormat="1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wrapText="1"/>
    </xf>
    <xf numFmtId="2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2" fontId="6" fillId="4" borderId="6" xfId="0" applyNumberFormat="1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2" fontId="10" fillId="2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left" vertical="center"/>
    </xf>
    <xf numFmtId="2" fontId="6" fillId="2" borderId="11" xfId="0" applyNumberFormat="1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" fontId="6" fillId="2" borderId="7" xfId="0" applyNumberFormat="1" applyFont="1" applyFill="1" applyBorder="1" applyAlignment="1">
      <alignment vertical="center"/>
    </xf>
    <xf numFmtId="2" fontId="6" fillId="2" borderId="8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 applyProtection="1">
      <alignment horizontal="center" vertical="center" wrapText="1"/>
      <protection locked="0"/>
    </xf>
    <xf numFmtId="2" fontId="6" fillId="0" borderId="10" xfId="0" applyNumberFormat="1" applyFont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vertical="center"/>
    </xf>
    <xf numFmtId="0" fontId="5" fillId="0" borderId="2" xfId="0" quotePrefix="1" applyFont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2" fontId="7" fillId="3" borderId="2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6" fillId="4" borderId="14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11" fillId="0" borderId="0" xfId="1" applyFont="1"/>
    <xf numFmtId="0" fontId="12" fillId="0" borderId="0" xfId="1" applyFont="1"/>
    <xf numFmtId="0" fontId="12" fillId="6" borderId="0" xfId="1" applyFont="1" applyFill="1"/>
    <xf numFmtId="0" fontId="13" fillId="6" borderId="0" xfId="1" applyFont="1" applyFill="1" applyAlignment="1">
      <alignment horizontal="left"/>
    </xf>
    <xf numFmtId="0" fontId="14" fillId="6" borderId="0" xfId="1" applyFont="1" applyFill="1" applyAlignment="1">
      <alignment horizontal="left"/>
    </xf>
    <xf numFmtId="0" fontId="15" fillId="6" borderId="0" xfId="1" applyFont="1" applyFill="1"/>
    <xf numFmtId="0" fontId="12" fillId="0" borderId="0" xfId="1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left" vertical="center" wrapText="1"/>
    </xf>
    <xf numFmtId="2" fontId="5" fillId="7" borderId="2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21" fillId="0" borderId="0" xfId="0" applyFont="1"/>
    <xf numFmtId="0" fontId="11" fillId="0" borderId="0" xfId="0" applyFont="1" applyAlignment="1">
      <alignment vertical="center" wrapText="1"/>
    </xf>
    <xf numFmtId="2" fontId="6" fillId="4" borderId="16" xfId="0" applyNumberFormat="1" applyFont="1" applyFill="1" applyBorder="1" applyAlignment="1">
      <alignment horizontal="left" vertical="center"/>
    </xf>
    <xf numFmtId="0" fontId="5" fillId="0" borderId="17" xfId="0" applyFont="1" applyBorder="1" applyAlignment="1" applyProtection="1">
      <alignment horizontal="center" vertical="center" wrapText="1"/>
      <protection locked="0"/>
    </xf>
    <xf numFmtId="1" fontId="5" fillId="0" borderId="5" xfId="0" applyNumberFormat="1" applyFont="1" applyBorder="1" applyAlignment="1">
      <alignment horizontal="center" wrapText="1"/>
    </xf>
    <xf numFmtId="0" fontId="5" fillId="0" borderId="17" xfId="0" applyFont="1" applyBorder="1" applyAlignment="1">
      <alignment horizontal="left" wrapText="1"/>
    </xf>
    <xf numFmtId="20" fontId="4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5" fillId="4" borderId="2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7" xfId="0" applyFont="1" applyBorder="1" applyAlignment="1" applyProtection="1">
      <alignment horizontal="left" vertical="center" wrapText="1"/>
      <protection locked="0"/>
    </xf>
    <xf numFmtId="2" fontId="6" fillId="4" borderId="16" xfId="0" applyNumberFormat="1" applyFont="1" applyFill="1" applyBorder="1" applyAlignment="1" applyProtection="1">
      <alignment horizontal="left" vertical="center"/>
      <protection hidden="1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1" fontId="5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2" xfId="0" applyFont="1" applyFill="1" applyBorder="1" applyAlignment="1" applyProtection="1">
      <alignment horizontal="left" vertical="center" wrapText="1"/>
      <protection hidden="1"/>
    </xf>
    <xf numFmtId="2" fontId="22" fillId="0" borderId="5" xfId="0" applyNumberFormat="1" applyFont="1" applyBorder="1" applyAlignment="1" applyProtection="1">
      <alignment horizontal="center" vertical="center" wrapText="1"/>
      <protection hidden="1"/>
    </xf>
    <xf numFmtId="0" fontId="22" fillId="0" borderId="2" xfId="0" applyFont="1" applyBorder="1" applyAlignment="1" applyProtection="1">
      <alignment horizontal="left" vertical="center" wrapText="1"/>
      <protection hidden="1"/>
    </xf>
    <xf numFmtId="0" fontId="22" fillId="0" borderId="17" xfId="0" applyFont="1" applyBorder="1" applyAlignment="1" applyProtection="1">
      <alignment horizontal="left" vertical="center" wrapText="1"/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wrapText="1"/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20" fillId="0" borderId="0" xfId="0" applyFont="1" applyProtection="1">
      <protection hidden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9" borderId="2" xfId="0" applyFont="1" applyFill="1" applyBorder="1" applyAlignment="1" applyProtection="1">
      <alignment horizontal="center" vertical="center" wrapText="1"/>
      <protection locked="0"/>
    </xf>
    <xf numFmtId="0" fontId="25" fillId="0" borderId="17" xfId="0" applyFont="1" applyBorder="1" applyAlignment="1" applyProtection="1">
      <alignment horizontal="left" vertical="center" wrapText="1"/>
      <protection locked="0"/>
    </xf>
    <xf numFmtId="0" fontId="5" fillId="8" borderId="2" xfId="0" applyFont="1" applyFill="1" applyBorder="1" applyAlignment="1" applyProtection="1">
      <alignment horizontal="center" vertical="center" wrapText="1"/>
      <protection locked="0"/>
    </xf>
    <xf numFmtId="1" fontId="5" fillId="0" borderId="20" xfId="0" applyNumberFormat="1" applyFont="1" applyBorder="1" applyAlignment="1">
      <alignment horizontal="center" wrapText="1"/>
    </xf>
    <xf numFmtId="0" fontId="26" fillId="10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28" fillId="13" borderId="18" xfId="0" applyFont="1" applyFill="1" applyBorder="1" applyAlignment="1">
      <alignment horizontal="center" vertical="center" wrapText="1"/>
    </xf>
    <xf numFmtId="0" fontId="29" fillId="0" borderId="18" xfId="0" applyFont="1" applyBorder="1"/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>
      <alignment horizontal="left" vertical="center" wrapText="1"/>
    </xf>
    <xf numFmtId="0" fontId="26" fillId="10" borderId="21" xfId="0" applyFont="1" applyFill="1" applyBorder="1" applyAlignment="1">
      <alignment horizontal="center" vertical="center"/>
    </xf>
    <xf numFmtId="0" fontId="26" fillId="10" borderId="19" xfId="0" applyFont="1" applyFill="1" applyBorder="1" applyAlignment="1">
      <alignment horizontal="center" vertical="center"/>
    </xf>
    <xf numFmtId="0" fontId="26" fillId="10" borderId="22" xfId="0" applyFont="1" applyFill="1" applyBorder="1" applyAlignment="1">
      <alignment horizontal="center" vertical="center"/>
    </xf>
    <xf numFmtId="0" fontId="26" fillId="10" borderId="23" xfId="0" applyFont="1" applyFill="1" applyBorder="1" applyAlignment="1">
      <alignment horizontal="center" vertical="center"/>
    </xf>
    <xf numFmtId="0" fontId="27" fillId="11" borderId="18" xfId="0" applyFont="1" applyFill="1" applyBorder="1" applyAlignment="1">
      <alignment horizontal="center" vertical="center"/>
    </xf>
    <xf numFmtId="0" fontId="0" fillId="11" borderId="18" xfId="0" applyFill="1" applyBorder="1"/>
    <xf numFmtId="0" fontId="27" fillId="12" borderId="18" xfId="0" applyFont="1" applyFill="1" applyBorder="1" applyAlignment="1">
      <alignment horizontal="center" vertical="center"/>
    </xf>
    <xf numFmtId="0" fontId="0" fillId="12" borderId="18" xfId="0" applyFill="1" applyBorder="1"/>
    <xf numFmtId="0" fontId="9" fillId="2" borderId="0" xfId="0" applyFont="1" applyFill="1" applyAlignment="1">
      <alignment horizontal="center" vertic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2" fontId="6" fillId="2" borderId="8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2" fontId="6" fillId="2" borderId="8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left" vertical="center"/>
    </xf>
    <xf numFmtId="2" fontId="7" fillId="3" borderId="4" xfId="0" applyNumberFormat="1" applyFont="1" applyFill="1" applyBorder="1" applyAlignment="1">
      <alignment horizontal="left" vertical="center"/>
    </xf>
    <xf numFmtId="2" fontId="7" fillId="3" borderId="5" xfId="0" applyNumberFormat="1" applyFont="1" applyFill="1" applyBorder="1" applyAlignment="1">
      <alignment horizontal="left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2" fontId="6" fillId="4" borderId="3" xfId="0" applyNumberFormat="1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5" fillId="0" borderId="2" xfId="0" applyFont="1" applyBorder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A127D73D-2759-47AE-AB25-527E18AF30DD}"/>
    <cellStyle name="Standard_D1778-1.3 2" xfId="2" xr:uid="{98970C00-17D1-4D0B-A813-2D408CBEBA33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alignment horizontal="left" vertical="center" textRotation="0" wrapText="1" indent="0" justifyLastLine="0" shrinkToFit="0" readingOrder="0"/>
      <protection locked="0" hidden="0"/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72285</xdr:colOff>
      <xdr:row>24</xdr:row>
      <xdr:rowOff>113733</xdr:rowOff>
    </xdr:from>
    <xdr:to>
      <xdr:col>5</xdr:col>
      <xdr:colOff>163586</xdr:colOff>
      <xdr:row>26</xdr:row>
      <xdr:rowOff>137753</xdr:rowOff>
    </xdr:to>
    <xdr:pic>
      <xdr:nvPicPr>
        <xdr:cNvPr id="2" name="Grafik 3">
          <a:extLst>
            <a:ext uri="{FF2B5EF4-FFF2-40B4-BE49-F238E27FC236}">
              <a16:creationId xmlns:a16="http://schemas.microsoft.com/office/drawing/2014/main" id="{AE2EABF2-7242-46B0-B820-DE8F4E51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160" y="4885758"/>
          <a:ext cx="281801" cy="36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1</xdr:col>
      <xdr:colOff>2267137</xdr:colOff>
      <xdr:row>0</xdr:row>
      <xdr:rowOff>350870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444DF-07B5-4F51-8BEE-E1DE29D66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700"/>
          <a:ext cx="2876737" cy="214345"/>
        </a:xfrm>
        <a:prstGeom prst="rect">
          <a:avLst/>
        </a:prstGeom>
      </xdr:spPr>
    </xdr:pic>
    <xdr:clientData/>
  </xdr:twoCellAnchor>
  <xdr:twoCellAnchor>
    <xdr:from>
      <xdr:col>1</xdr:col>
      <xdr:colOff>654050</xdr:colOff>
      <xdr:row>2</xdr:row>
      <xdr:rowOff>149225</xdr:rowOff>
    </xdr:from>
    <xdr:to>
      <xdr:col>1</xdr:col>
      <xdr:colOff>2305050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9DC872-5D29-B44F-DFA9-85465D78A8FA}"/>
            </a:ext>
          </a:extLst>
        </xdr:cNvPr>
        <xdr:cNvSpPr/>
      </xdr:nvSpPr>
      <xdr:spPr>
        <a:xfrm>
          <a:off x="1292225" y="835025"/>
          <a:ext cx="1651000" cy="241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647700</xdr:colOff>
      <xdr:row>3</xdr:row>
      <xdr:rowOff>95250</xdr:rowOff>
    </xdr:from>
    <xdr:to>
      <xdr:col>1</xdr:col>
      <xdr:colOff>2282825</xdr:colOff>
      <xdr:row>4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A64D4BF-B509-4C5C-9696-477CAA7E9138}"/>
            </a:ext>
          </a:extLst>
        </xdr:cNvPr>
        <xdr:cNvSpPr/>
      </xdr:nvSpPr>
      <xdr:spPr>
        <a:xfrm>
          <a:off x="13144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4</xdr:col>
      <xdr:colOff>143055</xdr:colOff>
      <xdr:row>1</xdr:row>
      <xdr:rowOff>196875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E4D6F4-292B-79EF-AFEA-FB51106BB8B2}"/>
            </a:ext>
            <a:ext uri="{147F2762-F138-4A5C-976F-8EAC2B608ADB}">
              <a16:predDERef xmlns:a16="http://schemas.microsoft.com/office/drawing/2014/main" pred="{EA2D7BD1-1B0F-4F86-B870-200F08F19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3175" y="76200"/>
          <a:ext cx="3324405" cy="485800"/>
        </a:xfrm>
        <a:prstGeom prst="rect">
          <a:avLst/>
        </a:prstGeom>
      </xdr:spPr>
    </xdr:pic>
    <xdr:clientData/>
  </xdr:twoCellAnchor>
  <xdr:twoCellAnchor>
    <xdr:from>
      <xdr:col>3</xdr:col>
      <xdr:colOff>1130300</xdr:colOff>
      <xdr:row>2</xdr:row>
      <xdr:rowOff>149225</xdr:rowOff>
    </xdr:from>
    <xdr:to>
      <xdr:col>3</xdr:col>
      <xdr:colOff>2781300</xdr:colOff>
      <xdr:row>3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E5E83F-C5BD-4BB6-B9DA-0D669FF1833A}"/>
            </a:ext>
          </a:extLst>
        </xdr:cNvPr>
        <xdr:cNvSpPr/>
      </xdr:nvSpPr>
      <xdr:spPr>
        <a:xfrm>
          <a:off x="8216900" y="835025"/>
          <a:ext cx="1651000" cy="241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1123950</xdr:colOff>
      <xdr:row>3</xdr:row>
      <xdr:rowOff>95250</xdr:rowOff>
    </xdr:from>
    <xdr:to>
      <xdr:col>3</xdr:col>
      <xdr:colOff>2759075</xdr:colOff>
      <xdr:row>4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6DD8D17-0AD8-4C34-9617-A49E14E213F9}"/>
            </a:ext>
          </a:extLst>
        </xdr:cNvPr>
        <xdr:cNvSpPr/>
      </xdr:nvSpPr>
      <xdr:spPr>
        <a:xfrm>
          <a:off x="90106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2</xdr:row>
      <xdr:rowOff>165099</xdr:rowOff>
    </xdr:from>
    <xdr:to>
      <xdr:col>1</xdr:col>
      <xdr:colOff>2190750</xdr:colOff>
      <xdr:row>3</xdr:row>
      <xdr:rowOff>3174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7DB44C-DC67-4D4D-8FD2-7245845307D5}"/>
            </a:ext>
          </a:extLst>
        </xdr:cNvPr>
        <xdr:cNvSpPr/>
      </xdr:nvSpPr>
      <xdr:spPr>
        <a:xfrm>
          <a:off x="1476375" y="488949"/>
          <a:ext cx="1200150" cy="190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990600</xdr:colOff>
      <xdr:row>3</xdr:row>
      <xdr:rowOff>142875</xdr:rowOff>
    </xdr:from>
    <xdr:to>
      <xdr:col>1</xdr:col>
      <xdr:colOff>2197100</xdr:colOff>
      <xdr:row>3</xdr:row>
      <xdr:rowOff>323850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EC2F99B-4B08-46D6-9CDE-34E6A6CE3FA6}"/>
            </a:ext>
          </a:extLst>
        </xdr:cNvPr>
        <xdr:cNvSpPr/>
      </xdr:nvSpPr>
      <xdr:spPr>
        <a:xfrm>
          <a:off x="1495425" y="819150"/>
          <a:ext cx="1206500" cy="180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1035051</xdr:colOff>
      <xdr:row>2</xdr:row>
      <xdr:rowOff>193674</xdr:rowOff>
    </xdr:from>
    <xdr:to>
      <xdr:col>4</xdr:col>
      <xdr:colOff>2524125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98F50B-5405-4B81-9E5E-DB355BDDB6AD}"/>
            </a:ext>
          </a:extLst>
        </xdr:cNvPr>
        <xdr:cNvSpPr/>
      </xdr:nvSpPr>
      <xdr:spPr>
        <a:xfrm>
          <a:off x="8540751" y="517524"/>
          <a:ext cx="1489074" cy="1873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1047751</xdr:colOff>
      <xdr:row>3</xdr:row>
      <xdr:rowOff>152400</xdr:rowOff>
    </xdr:from>
    <xdr:to>
      <xdr:col>4</xdr:col>
      <xdr:colOff>2514601</xdr:colOff>
      <xdr:row>4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7BB0E22-250A-4769-A7F6-1C548C08180A}"/>
            </a:ext>
          </a:extLst>
        </xdr:cNvPr>
        <xdr:cNvSpPr/>
      </xdr:nvSpPr>
      <xdr:spPr>
        <a:xfrm>
          <a:off x="8553451" y="828675"/>
          <a:ext cx="1466850" cy="2159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1539874</xdr:colOff>
      <xdr:row>4</xdr:row>
      <xdr:rowOff>101600</xdr:rowOff>
    </xdr:from>
    <xdr:to>
      <xdr:col>4</xdr:col>
      <xdr:colOff>2133599</xdr:colOff>
      <xdr:row>4</xdr:row>
      <xdr:rowOff>257175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EA7EAF0-CEDF-4CEB-B444-65877A7BFA84}"/>
            </a:ext>
          </a:extLst>
        </xdr:cNvPr>
        <xdr:cNvSpPr/>
      </xdr:nvSpPr>
      <xdr:spPr>
        <a:xfrm>
          <a:off x="9397999" y="1139825"/>
          <a:ext cx="593725" cy="1555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10</xdr:row>
      <xdr:rowOff>9525</xdr:rowOff>
    </xdr:from>
    <xdr:to>
      <xdr:col>11</xdr:col>
      <xdr:colOff>430647</xdr:colOff>
      <xdr:row>33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75243-E473-4759-947F-0807F2E7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724025"/>
          <a:ext cx="14489547" cy="3743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28575</xdr:rowOff>
    </xdr:from>
    <xdr:to>
      <xdr:col>1</xdr:col>
      <xdr:colOff>2200631</xdr:colOff>
      <xdr:row>0</xdr:row>
      <xdr:rowOff>476366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4D9285-A7E8-C2C6-1A9B-649FB365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8575"/>
          <a:ext cx="2524125" cy="451601"/>
        </a:xfrm>
        <a:prstGeom prst="rect">
          <a:avLst/>
        </a:prstGeom>
      </xdr:spPr>
    </xdr:pic>
    <xdr:clientData/>
  </xdr:twoCellAnchor>
  <xdr:twoCellAnchor>
    <xdr:from>
      <xdr:col>0</xdr:col>
      <xdr:colOff>58615</xdr:colOff>
      <xdr:row>2</xdr:row>
      <xdr:rowOff>3664</xdr:rowOff>
    </xdr:from>
    <xdr:to>
      <xdr:col>1</xdr:col>
      <xdr:colOff>1479177</xdr:colOff>
      <xdr:row>3</xdr:row>
      <xdr:rowOff>153866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5894F8-5EF4-72E8-ADE3-5C33D0ADC9F6}"/>
            </a:ext>
          </a:extLst>
        </xdr:cNvPr>
        <xdr:cNvSpPr/>
      </xdr:nvSpPr>
      <xdr:spPr>
        <a:xfrm>
          <a:off x="58615" y="821693"/>
          <a:ext cx="1891209" cy="36311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1729278</xdr:colOff>
      <xdr:row>2</xdr:row>
      <xdr:rowOff>1316</xdr:rowOff>
    </xdr:from>
    <xdr:to>
      <xdr:col>2</xdr:col>
      <xdr:colOff>739714</xdr:colOff>
      <xdr:row>3</xdr:row>
      <xdr:rowOff>141993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DF9729-E930-4F4B-8CE6-5A0A9504D9CD}"/>
            </a:ext>
          </a:extLst>
        </xdr:cNvPr>
        <xdr:cNvSpPr/>
      </xdr:nvSpPr>
      <xdr:spPr>
        <a:xfrm>
          <a:off x="2193622" y="816894"/>
          <a:ext cx="1314295" cy="34903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1795224</xdr:colOff>
      <xdr:row>1</xdr:row>
      <xdr:rowOff>210155</xdr:rowOff>
    </xdr:from>
    <xdr:to>
      <xdr:col>3</xdr:col>
      <xdr:colOff>1192695</xdr:colOff>
      <xdr:row>3</xdr:row>
      <xdr:rowOff>173934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9E7CE8B-6025-4ED9-ABEB-88DA8F9EA609}"/>
            </a:ext>
          </a:extLst>
        </xdr:cNvPr>
        <xdr:cNvSpPr/>
      </xdr:nvSpPr>
      <xdr:spPr>
        <a:xfrm>
          <a:off x="4574283" y="815273"/>
          <a:ext cx="2647177" cy="38960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6303</xdr:colOff>
      <xdr:row>1</xdr:row>
      <xdr:rowOff>209550</xdr:rowOff>
    </xdr:from>
    <xdr:to>
      <xdr:col>6</xdr:col>
      <xdr:colOff>1772478</xdr:colOff>
      <xdr:row>3</xdr:row>
      <xdr:rowOff>177121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C3087E-9A36-4AC4-B22E-29DAB296DDCD}"/>
            </a:ext>
          </a:extLst>
        </xdr:cNvPr>
        <xdr:cNvSpPr/>
      </xdr:nvSpPr>
      <xdr:spPr>
        <a:xfrm>
          <a:off x="7469421" y="814668"/>
          <a:ext cx="4623675" cy="3933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551259</xdr:colOff>
      <xdr:row>5</xdr:row>
      <xdr:rowOff>16248</xdr:rowOff>
    </xdr:from>
    <xdr:to>
      <xdr:col>6</xdr:col>
      <xdr:colOff>1781736</xdr:colOff>
      <xdr:row>5</xdr:row>
      <xdr:rowOff>371475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41301D-8D5C-4E6F-BEA9-B05B96A4BDB5}"/>
            </a:ext>
          </a:extLst>
        </xdr:cNvPr>
        <xdr:cNvSpPr/>
      </xdr:nvSpPr>
      <xdr:spPr>
        <a:xfrm>
          <a:off x="6571059" y="1464048"/>
          <a:ext cx="5526252" cy="35522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549578</xdr:colOff>
      <xdr:row>6</xdr:row>
      <xdr:rowOff>190500</xdr:rowOff>
    </xdr:from>
    <xdr:to>
      <xdr:col>6</xdr:col>
      <xdr:colOff>1792941</xdr:colOff>
      <xdr:row>7</xdr:row>
      <xdr:rowOff>347383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AE0837D-423F-4F28-9E0F-CF0F396DFEF9}"/>
            </a:ext>
          </a:extLst>
        </xdr:cNvPr>
        <xdr:cNvSpPr/>
      </xdr:nvSpPr>
      <xdr:spPr>
        <a:xfrm>
          <a:off x="8617813" y="2129118"/>
          <a:ext cx="5535216" cy="3697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547898</xdr:colOff>
      <xdr:row>8</xdr:row>
      <xdr:rowOff>134470</xdr:rowOff>
    </xdr:from>
    <xdr:to>
      <xdr:col>6</xdr:col>
      <xdr:colOff>1792941</xdr:colOff>
      <xdr:row>9</xdr:row>
      <xdr:rowOff>313765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BBE0443-30D3-4553-894F-CFFC0141D64D}"/>
            </a:ext>
          </a:extLst>
        </xdr:cNvPr>
        <xdr:cNvSpPr/>
      </xdr:nvSpPr>
      <xdr:spPr>
        <a:xfrm>
          <a:off x="8616133" y="2745441"/>
          <a:ext cx="5536896" cy="3922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559103</xdr:colOff>
      <xdr:row>10</xdr:row>
      <xdr:rowOff>115420</xdr:rowOff>
    </xdr:from>
    <xdr:to>
      <xdr:col>6</xdr:col>
      <xdr:colOff>1792941</xdr:colOff>
      <xdr:row>11</xdr:row>
      <xdr:rowOff>280147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D636E5-E8E5-4971-91D5-F2058258D4C2}"/>
            </a:ext>
          </a:extLst>
        </xdr:cNvPr>
        <xdr:cNvSpPr/>
      </xdr:nvSpPr>
      <xdr:spPr>
        <a:xfrm>
          <a:off x="8627338" y="3376332"/>
          <a:ext cx="5525691" cy="37763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555742</xdr:colOff>
      <xdr:row>12</xdr:row>
      <xdr:rowOff>200025</xdr:rowOff>
    </xdr:from>
    <xdr:to>
      <xdr:col>6</xdr:col>
      <xdr:colOff>1804147</xdr:colOff>
      <xdr:row>13</xdr:row>
      <xdr:rowOff>302559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36730C-27AE-410B-9385-BF96106624E4}"/>
            </a:ext>
          </a:extLst>
        </xdr:cNvPr>
        <xdr:cNvSpPr/>
      </xdr:nvSpPr>
      <xdr:spPr>
        <a:xfrm>
          <a:off x="6575542" y="4095750"/>
          <a:ext cx="5544180" cy="31208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506435</xdr:colOff>
      <xdr:row>5</xdr:row>
      <xdr:rowOff>373155</xdr:rowOff>
    </xdr:from>
    <xdr:to>
      <xdr:col>4</xdr:col>
      <xdr:colOff>1815353</xdr:colOff>
      <xdr:row>6</xdr:row>
      <xdr:rowOff>100853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89244EE-99A4-41D4-9768-8481EE1986B0}"/>
            </a:ext>
          </a:extLst>
        </xdr:cNvPr>
        <xdr:cNvSpPr/>
      </xdr:nvSpPr>
      <xdr:spPr>
        <a:xfrm>
          <a:off x="8574670" y="1829920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501953</xdr:colOff>
      <xdr:row>13</xdr:row>
      <xdr:rowOff>301438</xdr:rowOff>
    </xdr:from>
    <xdr:to>
      <xdr:col>4</xdr:col>
      <xdr:colOff>1810871</xdr:colOff>
      <xdr:row>14</xdr:row>
      <xdr:rowOff>6725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00D4142-AB3E-45EC-8F35-9A6760C04D41}"/>
            </a:ext>
          </a:extLst>
        </xdr:cNvPr>
        <xdr:cNvSpPr/>
      </xdr:nvSpPr>
      <xdr:spPr>
        <a:xfrm>
          <a:off x="8570188" y="4425203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0</xdr:colOff>
      <xdr:row>0</xdr:row>
      <xdr:rowOff>571500</xdr:rowOff>
    </xdr:from>
    <xdr:ext cx="979755" cy="27699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32C397-1577-E09F-EAB6-ECEEAC017182}"/>
            </a:ext>
            <a:ext uri="{147F2762-F138-4A5C-976F-8EAC2B608ADB}">
              <a16:predDERef xmlns:a16="http://schemas.microsoft.com/office/drawing/2014/main" pred="{E00D4142-AB3E-45EC-8F35-9A6760C04D41}"/>
            </a:ext>
          </a:extLst>
        </xdr:cNvPr>
        <xdr:cNvSpPr txBox="1"/>
      </xdr:nvSpPr>
      <xdr:spPr>
        <a:xfrm>
          <a:off x="0" y="571500"/>
          <a:ext cx="979755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>
              <a:latin typeface="Amasis MT Pro" panose="02040504050005020304" pitchFamily="18" charset="0"/>
            </a:rPr>
            <a:t>Created by</a:t>
          </a:r>
        </a:p>
      </xdr:txBody>
    </xdr:sp>
    <xdr:clientData/>
  </xdr:oneCellAnchor>
  <xdr:oneCellAnchor>
    <xdr:from>
      <xdr:col>1</xdr:col>
      <xdr:colOff>1642781</xdr:colOff>
      <xdr:row>0</xdr:row>
      <xdr:rowOff>567018</xdr:rowOff>
    </xdr:from>
    <xdr:ext cx="526106" cy="27699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250B2D5-95F3-4175-B2BE-7CF6A255F6A6}"/>
            </a:ext>
            <a:ext uri="{147F2762-F138-4A5C-976F-8EAC2B608ADB}">
              <a16:predDERef xmlns:a16="http://schemas.microsoft.com/office/drawing/2014/main" pred="{A732C397-1577-E09F-EAB6-ECEEAC017182}"/>
            </a:ext>
          </a:extLst>
        </xdr:cNvPr>
        <xdr:cNvSpPr txBox="1"/>
      </xdr:nvSpPr>
      <xdr:spPr>
        <a:xfrm>
          <a:off x="2109506" y="567018"/>
          <a:ext cx="526106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200" b="1">
              <a:solidFill>
                <a:schemeClr val="tx1"/>
              </a:solidFill>
              <a:latin typeface="Amasis MT Pro" panose="02040504050005020304" pitchFamily="18" charset="0"/>
            </a:rPr>
            <a:t>Date</a:t>
          </a:r>
        </a:p>
      </xdr:txBody>
    </xdr:sp>
    <xdr:clientData/>
  </xdr:oneCellAnchor>
  <xdr:oneCellAnchor>
    <xdr:from>
      <xdr:col>2</xdr:col>
      <xdr:colOff>865093</xdr:colOff>
      <xdr:row>0</xdr:row>
      <xdr:rowOff>573742</xdr:rowOff>
    </xdr:from>
    <xdr:ext cx="503471" cy="27699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827E205-B7DE-4605-8CBE-B5105EC1A77C}"/>
            </a:ext>
          </a:extLst>
        </xdr:cNvPr>
        <xdr:cNvSpPr txBox="1"/>
      </xdr:nvSpPr>
      <xdr:spPr>
        <a:xfrm>
          <a:off x="3644152" y="573742"/>
          <a:ext cx="503471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 baseline="0">
              <a:latin typeface="Amasis MT Pro" panose="02040504050005020304" pitchFamily="18" charset="0"/>
            </a:rPr>
            <a:t> Rev</a:t>
          </a:r>
          <a:endParaRPr lang="en-IN" sz="1200" b="1">
            <a:latin typeface="Amasis MT Pro" panose="02040504050005020304" pitchFamily="18" charset="0"/>
          </a:endParaRPr>
        </a:p>
      </xdr:txBody>
    </xdr:sp>
    <xdr:clientData/>
  </xdr:oneCellAnchor>
  <xdr:twoCellAnchor>
    <xdr:from>
      <xdr:col>2</xdr:col>
      <xdr:colOff>1000126</xdr:colOff>
      <xdr:row>2</xdr:row>
      <xdr:rowOff>2939</xdr:rowOff>
    </xdr:from>
    <xdr:to>
      <xdr:col>2</xdr:col>
      <xdr:colOff>1398444</xdr:colOff>
      <xdr:row>3</xdr:row>
      <xdr:rowOff>143616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4172ADE-FFAC-4508-B7A0-8082A478AC40}"/>
            </a:ext>
          </a:extLst>
        </xdr:cNvPr>
        <xdr:cNvSpPr/>
      </xdr:nvSpPr>
      <xdr:spPr>
        <a:xfrm>
          <a:off x="3771035" y="821223"/>
          <a:ext cx="398318" cy="348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cqos-india\qos-apac\Documents%20and%20Settings\Arun\Desktop\Anjali\To%20be%20emailed\08%20Aug\24.08\DMM%20FORMU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DMM Plan"/>
      <sheetName val="DMM responsiblity Calender"/>
      <sheetName val="Ext Audit Action item Tracker"/>
      <sheetName val="SA8000 Roadmapvc1.0"/>
      <sheetName val="RoHS Road Map"/>
      <sheetName val="OHSAS 18k"/>
      <sheetName val="Pivot table data"/>
      <sheetName val="01 - Data &amp; chart"/>
      <sheetName val="Summary report - Top 5"/>
      <sheetName val="DMM Action Plan tracker 2006"/>
      <sheetName val="Annex V Road Map"/>
      <sheetName val="COPQ"/>
      <sheetName val="ICSS"/>
      <sheetName val="EL manual changes"/>
      <sheetName val="QMS"/>
      <sheetName val="EHS"/>
      <sheetName val="BPM"/>
      <sheetName val="QTC"/>
      <sheetName val="DCC"/>
      <sheetName val="PQR"/>
      <sheetName val="Agenda &amp; DMM Instructions "/>
      <sheetName val="2006 calender"/>
      <sheetName val="Formul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F31CD-E2B3-4D19-A851-0477C04DF5FE}" name="Table35" displayName="Table35" ref="A6:D38" totalsRowShown="0" headerRowDxfId="17" dataDxfId="15" headerRowBorderDxfId="16" tableBorderDxfId="14" totalsRowBorderDxfId="13">
  <autoFilter ref="A6:D38" xr:uid="{640F31CD-E2B3-4D19-A851-0477C04DF5FE}"/>
  <tableColumns count="4">
    <tableColumn id="1" xr3:uid="{0DACC64B-A152-463E-B149-71997E48342C}" name="Sl. No." dataDxfId="12"/>
    <tableColumn id="2" xr3:uid="{F3469C32-3755-40D1-BB66-7BF8433C9B34}" name="IFC Design Questionnaire" dataDxfId="11"/>
    <tableColumn id="3" xr3:uid="{43AD5B27-0C9B-4DAF-AFA1-6E46C7795059}" name="Response" dataDxfId="10"/>
    <tableColumn id="6" xr3:uid="{99AF9000-5EBA-4DD7-9DD3-648BAD331A29}" name="Remarks" dataDxfId="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2E3C8-6F5D-4B80-8CEA-2018752E84DE}" name="Table354" displayName="Table354" ref="A6:E49" totalsRowShown="0" headerRowDxfId="8" headerRowBorderDxfId="7" tableBorderDxfId="6" totalsRowBorderDxfId="5">
  <autoFilter ref="A6:E49" xr:uid="{31E2E3C8-6F5D-4B80-8CEA-2018752E84DE}"/>
  <tableColumns count="5">
    <tableColumn id="1" xr3:uid="{1B39FE09-C589-4DDD-B4F2-D02AE9604DA7}" name="Sl. No." dataDxfId="4"/>
    <tableColumn id="2" xr3:uid="{65949EED-6FDD-4928-93CB-D7D64D08D00E}" name="IFC Design Questionnaire" dataDxfId="3"/>
    <tableColumn id="4" xr3:uid="{0FBA6CC5-6F47-4762-B5CB-F548F0F5B9B5}" name="Configuration Word" dataDxfId="0"/>
    <tableColumn id="3" xr3:uid="{5C27BBA8-F785-4C2A-A6DB-6B0F061411DD}" name="Response" dataDxfId="2"/>
    <tableColumn id="6" xr3:uid="{D09AEC7B-CFE9-464E-BF1B-5FA63990751E}" name="Remarks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5F9B-82AA-420A-A91E-6595832641D9}">
  <dimension ref="C7:AE44"/>
  <sheetViews>
    <sheetView view="pageLayout" topLeftCell="A23" zoomScale="115" zoomScaleNormal="145" zoomScalePageLayoutView="115" workbookViewId="0">
      <selection activeCell="I31" sqref="I30:I31"/>
    </sheetView>
  </sheetViews>
  <sheetFormatPr defaultColWidth="2.6640625" defaultRowHeight="14.1" customHeight="1"/>
  <cols>
    <col min="1" max="1" width="2.6640625" style="64"/>
    <col min="2" max="2" width="4.6640625" style="64" customWidth="1"/>
    <col min="3" max="3" width="2.6640625" style="64"/>
    <col min="4" max="4" width="2.6640625" style="64" customWidth="1"/>
    <col min="5" max="16384" width="2.6640625" style="64"/>
  </cols>
  <sheetData>
    <row r="7" spans="3:8" ht="30.75" customHeight="1">
      <c r="C7" s="63"/>
      <c r="E7" s="63" t="s">
        <v>0</v>
      </c>
      <c r="F7" s="63"/>
      <c r="G7" s="63"/>
      <c r="H7" s="63"/>
    </row>
    <row r="8" spans="3:8" ht="30.75" customHeight="1">
      <c r="C8" s="63"/>
      <c r="E8" s="63"/>
    </row>
    <row r="9" spans="3:8" ht="30.75" customHeight="1">
      <c r="C9" s="63"/>
      <c r="E9" s="63"/>
    </row>
    <row r="25" spans="5:18" ht="14.1" customHeight="1"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</row>
    <row r="26" spans="5:18" ht="14.1" customHeight="1">
      <c r="E26" s="65"/>
      <c r="F26" s="65"/>
      <c r="G26" s="65"/>
      <c r="H26" s="65" t="s">
        <v>1</v>
      </c>
      <c r="I26" s="66"/>
      <c r="J26" s="65"/>
      <c r="K26" s="65"/>
      <c r="L26" s="65"/>
      <c r="M26" s="65"/>
      <c r="N26" s="65"/>
      <c r="O26" s="65"/>
      <c r="P26" s="65"/>
      <c r="Q26" s="65"/>
      <c r="R26" s="65"/>
    </row>
    <row r="27" spans="5:18" ht="14.1" customHeight="1">
      <c r="E27" s="65"/>
      <c r="F27" s="65"/>
      <c r="G27" s="65"/>
      <c r="H27" s="65" t="s">
        <v>2</v>
      </c>
      <c r="I27" s="67"/>
      <c r="J27" s="65"/>
      <c r="K27" s="65"/>
      <c r="L27" s="65"/>
      <c r="M27" s="65"/>
      <c r="N27" s="65"/>
      <c r="O27" s="65"/>
      <c r="P27" s="65"/>
      <c r="Q27" s="65"/>
      <c r="R27" s="65"/>
    </row>
    <row r="28" spans="5:18" ht="9.75" customHeight="1"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spans="5:18" ht="14.1" customHeight="1">
      <c r="E29" s="65"/>
      <c r="F29" s="65"/>
      <c r="G29" s="65"/>
      <c r="H29" s="65" t="s">
        <v>3</v>
      </c>
      <c r="I29" s="68"/>
      <c r="J29" s="65"/>
      <c r="K29" s="65"/>
      <c r="L29" s="65"/>
      <c r="M29" s="65"/>
      <c r="N29" s="65"/>
      <c r="O29" s="65"/>
      <c r="P29" s="65"/>
      <c r="Q29" s="65"/>
      <c r="R29" s="65"/>
    </row>
    <row r="30" spans="5:18" ht="14.1" customHeight="1">
      <c r="E30" s="65"/>
      <c r="F30" s="65"/>
      <c r="G30" s="65"/>
      <c r="H30" s="65" t="s">
        <v>4</v>
      </c>
      <c r="I30" s="68"/>
      <c r="J30" s="65"/>
      <c r="K30" s="65"/>
      <c r="L30" s="65"/>
      <c r="M30" s="65"/>
      <c r="N30" s="65"/>
      <c r="O30" s="65"/>
      <c r="P30" s="65"/>
      <c r="Q30" s="65"/>
      <c r="R30" s="65"/>
    </row>
    <row r="31" spans="5:18" ht="14.1" customHeight="1">
      <c r="E31" s="65"/>
      <c r="F31" s="65"/>
      <c r="G31" s="65"/>
      <c r="H31" s="65"/>
      <c r="I31" s="68"/>
      <c r="J31" s="65"/>
      <c r="K31" s="65"/>
      <c r="L31" s="65"/>
      <c r="M31" s="65"/>
      <c r="N31" s="65"/>
      <c r="O31" s="65"/>
      <c r="P31" s="65"/>
      <c r="Q31" s="65"/>
      <c r="R31" s="65"/>
    </row>
    <row r="32" spans="5:18" ht="14.1" customHeight="1"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43" spans="5:31" s="69" customFormat="1" ht="14.1" customHeight="1"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5:31" s="69" customFormat="1" ht="14.1" customHeight="1"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</sheetData>
  <pageMargins left="0" right="0.39370078740157483" top="1.3385826771653544" bottom="0.9055118110236221" header="0" footer="0"/>
  <pageSetup paperSize="9" orientation="portrait" r:id="rId1"/>
  <headerFooter differentFirst="1">
    <oddHeader>&amp;C&amp;G</oddHeader>
    <oddFooter>&amp;C&amp;"Arial,Standard"&amp;6&amp;G</oddFooter>
    <firstHeader>&amp;C&amp;G</firstHeader>
    <firstFooter>&amp;C&amp;G</first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6A23-9B88-45B3-BE16-B011D178D586}">
  <dimension ref="A1:J38"/>
  <sheetViews>
    <sheetView showGridLines="0" zoomScaleNormal="100" workbookViewId="0">
      <selection activeCell="C15" sqref="C15"/>
    </sheetView>
  </sheetViews>
  <sheetFormatPr defaultColWidth="8.6640625" defaultRowHeight="12.75" customHeight="1"/>
  <cols>
    <col min="1" max="1" width="9.5546875" style="95" customWidth="1"/>
    <col min="2" max="2" width="44" style="96" customWidth="1"/>
    <col min="3" max="3" width="52.6640625" style="95" customWidth="1"/>
    <col min="4" max="4" width="47.88671875" style="95" customWidth="1"/>
    <col min="5" max="16384" width="8.6640625" style="95"/>
  </cols>
  <sheetData>
    <row r="1" spans="1:10" ht="29.1" customHeight="1"/>
    <row r="2" spans="1:10" ht="25.5" customHeight="1">
      <c r="A2" s="97"/>
      <c r="B2" s="98"/>
      <c r="C2" s="97"/>
      <c r="D2" s="97"/>
    </row>
    <row r="3" spans="1:10" ht="28.5" customHeight="1">
      <c r="A3" s="105" t="s">
        <v>5</v>
      </c>
      <c r="B3" s="100"/>
      <c r="C3" s="117" t="s">
        <v>6</v>
      </c>
      <c r="D3" s="105" t="s">
        <v>7</v>
      </c>
      <c r="E3" s="101"/>
      <c r="H3" s="102"/>
      <c r="I3" s="102"/>
      <c r="J3" s="102"/>
    </row>
    <row r="4" spans="1:10" ht="24" customHeight="1">
      <c r="A4" s="105" t="s">
        <v>8</v>
      </c>
      <c r="B4" s="100"/>
      <c r="C4" s="117"/>
      <c r="D4" s="105" t="s">
        <v>9</v>
      </c>
      <c r="E4" s="101"/>
      <c r="H4" s="102"/>
      <c r="I4" s="102"/>
      <c r="J4" s="102"/>
    </row>
    <row r="5" spans="1:10" ht="18" customHeight="1">
      <c r="A5" s="99"/>
      <c r="B5" s="100"/>
      <c r="C5" s="103"/>
      <c r="D5" s="97"/>
      <c r="E5" s="102"/>
      <c r="F5" s="102"/>
      <c r="G5" s="102"/>
      <c r="H5" s="102"/>
      <c r="I5" s="102"/>
      <c r="J5" s="102"/>
    </row>
    <row r="6" spans="1:10" ht="16.2">
      <c r="A6" s="88" t="s">
        <v>10</v>
      </c>
      <c r="B6" s="89" t="s">
        <v>11</v>
      </c>
      <c r="C6" s="104" t="s">
        <v>12</v>
      </c>
      <c r="D6" s="104" t="s">
        <v>13</v>
      </c>
    </row>
    <row r="7" spans="1:10" ht="13.2">
      <c r="A7" s="90">
        <v>1</v>
      </c>
      <c r="B7" s="91" t="s">
        <v>14</v>
      </c>
      <c r="C7" s="85"/>
      <c r="D7" s="85"/>
    </row>
    <row r="8" spans="1:10" ht="13.2">
      <c r="A8" s="92">
        <v>1.01</v>
      </c>
      <c r="B8" s="93" t="s">
        <v>15</v>
      </c>
      <c r="C8" s="86" t="s">
        <v>16</v>
      </c>
      <c r="D8" s="86"/>
    </row>
    <row r="9" spans="1:10" ht="13.2">
      <c r="A9" s="92">
        <v>1.02</v>
      </c>
      <c r="B9" s="93" t="s">
        <v>17</v>
      </c>
      <c r="C9" s="86" t="s">
        <v>18</v>
      </c>
      <c r="D9" s="86"/>
    </row>
    <row r="10" spans="1:10" ht="26.4">
      <c r="A10" s="92">
        <v>1.03</v>
      </c>
      <c r="B10" s="93" t="s">
        <v>19</v>
      </c>
      <c r="C10" s="86" t="s">
        <v>20</v>
      </c>
      <c r="D10" s="86"/>
    </row>
    <row r="11" spans="1:10" ht="26.4">
      <c r="A11" s="92">
        <v>1.04</v>
      </c>
      <c r="B11" s="93" t="s">
        <v>21</v>
      </c>
      <c r="C11" s="86" t="s">
        <v>22</v>
      </c>
      <c r="D11" s="86"/>
    </row>
    <row r="12" spans="1:10" ht="27" customHeight="1">
      <c r="A12" s="92">
        <v>1.05</v>
      </c>
      <c r="B12" s="94" t="s">
        <v>23</v>
      </c>
      <c r="C12" s="87" t="s">
        <v>24</v>
      </c>
      <c r="D12" s="87"/>
    </row>
    <row r="13" spans="1:10" ht="52.8">
      <c r="A13" s="92">
        <v>1.06</v>
      </c>
      <c r="B13" s="94" t="s">
        <v>25</v>
      </c>
      <c r="C13" s="87" t="s">
        <v>26</v>
      </c>
      <c r="D13" s="109"/>
    </row>
    <row r="14" spans="1:10" ht="39.6">
      <c r="A14" s="92">
        <v>1.07</v>
      </c>
      <c r="B14" s="93" t="s">
        <v>27</v>
      </c>
      <c r="C14" s="86" t="s">
        <v>26</v>
      </c>
      <c r="D14" s="86"/>
    </row>
    <row r="15" spans="1:10" ht="13.2">
      <c r="A15" s="92">
        <v>1.08</v>
      </c>
      <c r="B15" s="150" t="s">
        <v>511</v>
      </c>
      <c r="C15" s="86" t="s">
        <v>514</v>
      </c>
      <c r="D15" s="86"/>
    </row>
    <row r="16" spans="1:10" ht="13.2">
      <c r="A16" s="92">
        <v>1.0900000000000001</v>
      </c>
      <c r="B16" s="150" t="s">
        <v>512</v>
      </c>
      <c r="C16" s="86" t="s">
        <v>513</v>
      </c>
      <c r="D16" s="86"/>
    </row>
    <row r="17" spans="1:4" ht="13.2">
      <c r="A17" s="90">
        <v>2</v>
      </c>
      <c r="B17" s="91" t="s">
        <v>28</v>
      </c>
      <c r="C17" s="85"/>
      <c r="D17" s="85"/>
    </row>
    <row r="18" spans="1:4" ht="13.2">
      <c r="A18" s="92">
        <v>2.0099999999999998</v>
      </c>
      <c r="B18" s="93" t="s">
        <v>29</v>
      </c>
      <c r="C18" s="86" t="s">
        <v>30</v>
      </c>
      <c r="D18" s="86"/>
    </row>
    <row r="19" spans="1:4" ht="13.2">
      <c r="A19" s="92">
        <v>2.02</v>
      </c>
      <c r="B19" s="93" t="s">
        <v>31</v>
      </c>
      <c r="C19" s="86" t="s">
        <v>32</v>
      </c>
      <c r="D19" s="86"/>
    </row>
    <row r="20" spans="1:4" ht="13.2">
      <c r="A20" s="92">
        <v>2.0299999999999998</v>
      </c>
      <c r="B20" s="93" t="s">
        <v>33</v>
      </c>
      <c r="C20" s="86" t="s">
        <v>32</v>
      </c>
      <c r="D20" s="86"/>
    </row>
    <row r="21" spans="1:4" ht="13.2">
      <c r="A21" s="92">
        <v>2.04</v>
      </c>
      <c r="B21" s="93" t="s">
        <v>34</v>
      </c>
      <c r="C21" s="87" t="s">
        <v>26</v>
      </c>
      <c r="D21" s="86"/>
    </row>
    <row r="22" spans="1:4" ht="13.2">
      <c r="A22" s="92">
        <v>2.0499999999999998</v>
      </c>
      <c r="B22" s="94" t="s">
        <v>35</v>
      </c>
      <c r="C22" s="86" t="s">
        <v>36</v>
      </c>
      <c r="D22" s="87"/>
    </row>
    <row r="23" spans="1:4" ht="26.4">
      <c r="A23" s="92">
        <v>2.06</v>
      </c>
      <c r="B23" s="93" t="s">
        <v>37</v>
      </c>
      <c r="C23" s="86" t="s">
        <v>38</v>
      </c>
      <c r="D23" s="86"/>
    </row>
    <row r="24" spans="1:4" ht="13.2">
      <c r="A24" s="90">
        <v>3</v>
      </c>
      <c r="B24" s="91" t="s">
        <v>40</v>
      </c>
      <c r="C24" s="85"/>
      <c r="D24" s="85"/>
    </row>
    <row r="25" spans="1:4" ht="13.2">
      <c r="A25" s="92">
        <v>3.01</v>
      </c>
      <c r="B25" s="93" t="s">
        <v>41</v>
      </c>
      <c r="C25" s="86" t="s">
        <v>42</v>
      </c>
      <c r="D25" s="86"/>
    </row>
    <row r="26" spans="1:4" ht="26.4">
      <c r="A26" s="92">
        <v>3.02</v>
      </c>
      <c r="B26" s="93" t="s">
        <v>43</v>
      </c>
      <c r="C26" s="86" t="s">
        <v>26</v>
      </c>
      <c r="D26" s="86"/>
    </row>
    <row r="27" spans="1:4" ht="26.4">
      <c r="A27" s="92">
        <v>3.03</v>
      </c>
      <c r="B27" s="94" t="s">
        <v>44</v>
      </c>
      <c r="C27" s="87" t="s">
        <v>26</v>
      </c>
      <c r="D27" s="87"/>
    </row>
    <row r="28" spans="1:4" ht="39.6">
      <c r="A28" s="92">
        <v>3.04</v>
      </c>
      <c r="B28" s="94" t="s">
        <v>45</v>
      </c>
      <c r="C28" s="87" t="s">
        <v>26</v>
      </c>
      <c r="D28" s="87"/>
    </row>
    <row r="29" spans="1:4" ht="13.2">
      <c r="A29" s="92">
        <v>3.05</v>
      </c>
      <c r="B29" s="94" t="s">
        <v>46</v>
      </c>
      <c r="C29" s="87" t="s">
        <v>26</v>
      </c>
      <c r="D29" s="86"/>
    </row>
    <row r="30" spans="1:4" ht="52.8">
      <c r="A30" s="92">
        <v>3.06</v>
      </c>
      <c r="B30" s="93" t="s">
        <v>47</v>
      </c>
      <c r="C30" s="86" t="s">
        <v>38</v>
      </c>
      <c r="D30" s="86"/>
    </row>
    <row r="31" spans="1:4" ht="13.2">
      <c r="A31" s="90">
        <v>4</v>
      </c>
      <c r="B31" s="91" t="s">
        <v>48</v>
      </c>
      <c r="C31" s="85"/>
      <c r="D31" s="85"/>
    </row>
    <row r="32" spans="1:4" ht="39.6">
      <c r="A32" s="92">
        <v>4.01</v>
      </c>
      <c r="B32" s="93" t="s">
        <v>49</v>
      </c>
      <c r="C32" s="86" t="s">
        <v>36</v>
      </c>
      <c r="D32" s="86"/>
    </row>
    <row r="33" spans="1:4" ht="13.2">
      <c r="A33" s="92">
        <v>4.0199999999999996</v>
      </c>
      <c r="B33" s="93" t="s">
        <v>50</v>
      </c>
      <c r="C33" s="86" t="s">
        <v>38</v>
      </c>
      <c r="D33" s="87"/>
    </row>
    <row r="34" spans="1:4" ht="13.2">
      <c r="A34" s="90">
        <v>5</v>
      </c>
      <c r="B34" s="91" t="s">
        <v>51</v>
      </c>
      <c r="C34" s="85"/>
      <c r="D34" s="85"/>
    </row>
    <row r="35" spans="1:4" ht="15.6" customHeight="1">
      <c r="A35" s="92">
        <v>5.01</v>
      </c>
      <c r="B35" s="93" t="s">
        <v>52</v>
      </c>
      <c r="C35" s="86" t="s">
        <v>53</v>
      </c>
      <c r="D35" s="86"/>
    </row>
    <row r="36" spans="1:4" ht="13.2">
      <c r="A36" s="92">
        <v>5.0199999999999996</v>
      </c>
      <c r="B36" s="93" t="s">
        <v>54</v>
      </c>
      <c r="C36" s="86" t="s">
        <v>55</v>
      </c>
      <c r="D36" s="86"/>
    </row>
    <row r="37" spans="1:4" ht="12.75" customHeight="1">
      <c r="A37" s="92">
        <v>5.03</v>
      </c>
      <c r="B37" s="93" t="s">
        <v>56</v>
      </c>
      <c r="C37" s="86" t="s">
        <v>53</v>
      </c>
      <c r="D37" s="86"/>
    </row>
    <row r="38" spans="1:4" ht="12.75" customHeight="1">
      <c r="A38" s="92">
        <v>5.04</v>
      </c>
      <c r="B38" s="93" t="s">
        <v>57</v>
      </c>
      <c r="C38" s="86" t="s">
        <v>53</v>
      </c>
      <c r="D38" s="86"/>
    </row>
  </sheetData>
  <sheetProtection selectLockedCells="1"/>
  <mergeCells count="1">
    <mergeCell ref="C3:C4"/>
  </mergeCells>
  <phoneticPr fontId="8" type="noConversion"/>
  <dataValidations count="6">
    <dataValidation type="list" allowBlank="1" showInputMessage="1" showErrorMessage="1" sqref="C37:C38 C35" xr:uid="{0F84C3E5-AFD2-4189-B36E-850B4B7A6C7A}">
      <formula1>"Frauscher Standard,Customer Standard"</formula1>
    </dataValidation>
    <dataValidation type="list" allowBlank="1" showInputMessage="1" showErrorMessage="1" sqref="C36" xr:uid="{35BC494E-6801-4669-94E9-0FC6B39AB445}">
      <formula1>"A2 Size,A3 Size"</formula1>
    </dataValidation>
    <dataValidation type="list" allowBlank="1" showInputMessage="1" showErrorMessage="1" sqref="C21 C23 C33 C26:C30 C13:C14" xr:uid="{A366D902-21FA-4F45-890F-CC2FD92112B5}">
      <formula1>"Yes - Details Available in Remarks,No"</formula1>
    </dataValidation>
    <dataValidation type="list" allowBlank="1" showInputMessage="1" showErrorMessage="1" sqref="C12:C14" xr:uid="{4B2F3E13-F1A6-44C6-A98E-984287EAE79C}">
      <formula1>"24V,230V"</formula1>
    </dataValidation>
    <dataValidation type="list" allowBlank="1" showInputMessage="1" showErrorMessage="1" sqref="C15" xr:uid="{41DAB136-01A8-4006-96FF-5ADCC5D0129C}">
      <formula1>"Single, Dual"</formula1>
    </dataValidation>
    <dataValidation type="list" allowBlank="1" showInputMessage="1" showErrorMessage="1" sqref="C16" xr:uid="{CAAAE959-0E47-4C34-A89C-D60A493202A6}">
      <formula1>"GS05 and below, GS06 and above"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71AE6CB-A878-4209-9043-192D5018A1FA}">
          <x14:formula1>
            <xm:f>'DD List'!$B$56:$B$59</xm:f>
          </x14:formula1>
          <xm:sqref>C22:C23 C19:C20</xm:sqref>
        </x14:dataValidation>
        <x14:dataValidation type="list" allowBlank="1" showInputMessage="1" showErrorMessage="1" xr:uid="{C3517539-AF58-4FD3-8354-6D40555C8237}">
          <x14:formula1>
            <xm:f>'DD List'!$F$27:$F$28</xm:f>
          </x14:formula1>
          <xm:sqref>C10</xm:sqref>
        </x14:dataValidation>
        <x14:dataValidation type="list" allowBlank="1" showInputMessage="1" showErrorMessage="1" xr:uid="{07FDDAFA-5383-448A-BC62-F08E84DE54FE}">
          <x14:formula1>
            <xm:f>'DD List'!$F$30:$F$31</xm:f>
          </x14:formula1>
          <xm:sqref>C11</xm:sqref>
        </x14:dataValidation>
        <x14:dataValidation type="list" allowBlank="1" showInputMessage="1" showErrorMessage="1" xr:uid="{45C54B61-4BD2-44F9-8C89-79976B1E4F1F}">
          <x14:formula1>
            <xm:f>'DD List'!$J$22:$J$25</xm:f>
          </x14:formula1>
          <xm:sqref>C25</xm:sqref>
        </x14:dataValidation>
        <x14:dataValidation type="list" allowBlank="1" showInputMessage="1" showErrorMessage="1" xr:uid="{78232BD9-0BA9-40CA-972B-FC1714E20DF0}">
          <x14:formula1>
            <xm:f>'DD List'!$F$76:$F$79</xm:f>
          </x14:formula1>
          <xm:sqref>C32</xm:sqref>
        </x14:dataValidation>
        <x14:dataValidation type="list" allowBlank="1" showInputMessage="1" showErrorMessage="1" xr:uid="{4FF83259-27FF-46BD-A6CF-0D4576384898}">
          <x14:formula1>
            <xm:f>'DD List'!$B$44:$B$54</xm:f>
          </x14:formula1>
          <xm:sqref>C18</xm:sqref>
        </x14:dataValidation>
        <x14:dataValidation type="list" allowBlank="1" showInputMessage="1" showErrorMessage="1" xr:uid="{8E7DB6E3-CE81-441C-B972-421DC207FBD2}">
          <x14:formula1>
            <xm:f>'DD List'!$B$24:$B$31</xm:f>
          </x14:formula1>
          <xm:sqref>C8</xm:sqref>
        </x14:dataValidation>
        <x14:dataValidation type="list" allowBlank="1" showInputMessage="1" showErrorMessage="1" xr:uid="{0A242CE7-47ED-4394-8026-E105BFED08A7}">
          <x14:formula1>
            <xm:f>'DD List'!$B$70:$B$73</xm:f>
          </x14:formula1>
          <xm:sqref>C23</xm:sqref>
        </x14:dataValidation>
        <x14:dataValidation type="list" allowBlank="1" showInputMessage="1" showErrorMessage="1" xr:uid="{328876F3-F77E-4332-AE5F-8B08D6602D77}">
          <x14:formula1>
            <xm:f>'DD List'!$B$65:$B$68</xm:f>
          </x14:formula1>
          <xm:sqref>C9:C14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714F-E90E-40CF-A265-13162CED77D4}">
  <sheetPr>
    <pageSetUpPr fitToPage="1"/>
  </sheetPr>
  <dimension ref="A1:E49"/>
  <sheetViews>
    <sheetView showGridLines="0" tabSelected="1" topLeftCell="A7" workbookViewId="0">
      <selection activeCell="D9" sqref="D9"/>
    </sheetView>
  </sheetViews>
  <sheetFormatPr defaultColWidth="9.109375" defaultRowHeight="13.2"/>
  <cols>
    <col min="1" max="1" width="7.33203125" customWidth="1"/>
    <col min="2" max="2" width="43.77734375" bestFit="1" customWidth="1"/>
    <col min="3" max="3" width="33.88671875" customWidth="1"/>
    <col min="4" max="4" width="28" customWidth="1"/>
    <col min="5" max="5" width="33.21875" customWidth="1"/>
  </cols>
  <sheetData>
    <row r="1" spans="1:5" hidden="1"/>
    <row r="2" spans="1:5" hidden="1"/>
    <row r="3" spans="1:5" ht="28.2" hidden="1">
      <c r="A3" s="83" t="s">
        <v>5</v>
      </c>
      <c r="B3" s="84"/>
      <c r="C3" s="118" t="s">
        <v>58</v>
      </c>
      <c r="D3" s="83" t="s">
        <v>7</v>
      </c>
      <c r="E3" s="77"/>
    </row>
    <row r="4" spans="1:5" ht="28.5" hidden="1" customHeight="1">
      <c r="A4" s="83" t="s">
        <v>8</v>
      </c>
      <c r="B4" s="84"/>
      <c r="C4" s="118"/>
      <c r="D4" s="83" t="s">
        <v>9</v>
      </c>
      <c r="E4" s="77"/>
    </row>
    <row r="5" spans="1:5" ht="29.1" hidden="1" customHeight="1">
      <c r="A5" s="76"/>
      <c r="B5" s="75"/>
      <c r="C5" s="75"/>
      <c r="D5" s="107" t="s">
        <v>59</v>
      </c>
    </row>
    <row r="6" spans="1:5" ht="16.2" hidden="1">
      <c r="A6" s="78" t="s">
        <v>10</v>
      </c>
      <c r="B6" s="28" t="s">
        <v>11</v>
      </c>
      <c r="C6" s="28" t="s">
        <v>450</v>
      </c>
      <c r="D6" s="28" t="s">
        <v>12</v>
      </c>
      <c r="E6" s="28" t="s">
        <v>13</v>
      </c>
    </row>
    <row r="7" spans="1:5">
      <c r="A7" s="80">
        <v>1</v>
      </c>
      <c r="B7" s="12" t="s">
        <v>60</v>
      </c>
      <c r="C7" s="12"/>
      <c r="D7" s="108" t="s">
        <v>61</v>
      </c>
      <c r="E7" s="5"/>
    </row>
    <row r="8" spans="1:5">
      <c r="A8" s="80">
        <v>2</v>
      </c>
      <c r="B8" s="12" t="s">
        <v>62</v>
      </c>
      <c r="C8" s="12" t="s">
        <v>515</v>
      </c>
      <c r="D8" s="106" t="s">
        <v>63</v>
      </c>
      <c r="E8" s="5"/>
    </row>
    <row r="9" spans="1:5">
      <c r="A9" s="80">
        <v>3</v>
      </c>
      <c r="B9" s="12" t="s">
        <v>496</v>
      </c>
      <c r="C9" s="12" t="s">
        <v>451</v>
      </c>
      <c r="D9" s="106">
        <v>2600</v>
      </c>
      <c r="E9" s="5"/>
    </row>
    <row r="10" spans="1:5">
      <c r="A10" s="80">
        <v>4</v>
      </c>
      <c r="B10" s="12" t="s">
        <v>497</v>
      </c>
      <c r="C10" s="12" t="s">
        <v>452</v>
      </c>
      <c r="D10" s="106">
        <v>0</v>
      </c>
      <c r="E10" s="5"/>
    </row>
    <row r="11" spans="1:5">
      <c r="A11" s="80">
        <v>5</v>
      </c>
      <c r="B11" s="12" t="s">
        <v>453</v>
      </c>
      <c r="C11" s="12" t="s">
        <v>454</v>
      </c>
      <c r="D11" s="106">
        <v>0</v>
      </c>
      <c r="E11" s="5"/>
    </row>
    <row r="12" spans="1:5">
      <c r="A12" s="80">
        <v>6</v>
      </c>
      <c r="B12" s="12" t="s">
        <v>455</v>
      </c>
      <c r="C12" s="12" t="s">
        <v>456</v>
      </c>
      <c r="D12" s="106">
        <v>1</v>
      </c>
      <c r="E12" s="5"/>
    </row>
    <row r="13" spans="1:5">
      <c r="A13" s="80">
        <v>7</v>
      </c>
      <c r="B13" s="12" t="s">
        <v>457</v>
      </c>
      <c r="C13" s="12" t="s">
        <v>458</v>
      </c>
      <c r="D13" s="106">
        <v>0</v>
      </c>
      <c r="E13" s="5"/>
    </row>
    <row r="14" spans="1:5" ht="26.4">
      <c r="A14" s="80">
        <v>8</v>
      </c>
      <c r="B14" s="12" t="s">
        <v>459</v>
      </c>
      <c r="C14" s="12" t="s">
        <v>460</v>
      </c>
      <c r="D14" s="106" t="s">
        <v>516</v>
      </c>
      <c r="E14" s="5"/>
    </row>
    <row r="15" spans="1:5" ht="26.4">
      <c r="A15" s="80">
        <v>9</v>
      </c>
      <c r="B15" s="12" t="s">
        <v>447</v>
      </c>
      <c r="C15" s="12"/>
      <c r="D15" s="108"/>
      <c r="E15" s="110" t="s">
        <v>391</v>
      </c>
    </row>
    <row r="16" spans="1:5" ht="26.4">
      <c r="A16" s="80">
        <v>10</v>
      </c>
      <c r="B16" s="12" t="s">
        <v>448</v>
      </c>
      <c r="C16" s="12"/>
      <c r="D16" s="108"/>
      <c r="E16" s="110" t="s">
        <v>391</v>
      </c>
    </row>
    <row r="17" spans="1:5" ht="26.4">
      <c r="A17" s="80">
        <v>11</v>
      </c>
      <c r="B17" s="12" t="s">
        <v>449</v>
      </c>
      <c r="C17" s="12"/>
      <c r="D17" s="108"/>
      <c r="E17" s="110" t="s">
        <v>391</v>
      </c>
    </row>
    <row r="18" spans="1:5" ht="26.4">
      <c r="A18" s="80">
        <v>12</v>
      </c>
      <c r="B18" s="12" t="s">
        <v>461</v>
      </c>
      <c r="C18" s="12" t="s">
        <v>462</v>
      </c>
      <c r="D18" s="106" t="s">
        <v>66</v>
      </c>
      <c r="E18" s="5"/>
    </row>
    <row r="19" spans="1:5" ht="26.4">
      <c r="A19" s="80">
        <v>13</v>
      </c>
      <c r="B19" s="12" t="s">
        <v>463</v>
      </c>
      <c r="C19" s="12" t="s">
        <v>464</v>
      </c>
      <c r="D19" s="5" t="s">
        <v>498</v>
      </c>
      <c r="E19" s="5"/>
    </row>
    <row r="20" spans="1:5">
      <c r="A20" s="80">
        <v>14</v>
      </c>
      <c r="B20" s="12" t="s">
        <v>67</v>
      </c>
      <c r="C20" s="12"/>
      <c r="D20" s="106" t="s">
        <v>68</v>
      </c>
      <c r="E20" s="5"/>
    </row>
    <row r="21" spans="1:5" ht="26.4">
      <c r="A21" s="80">
        <v>15</v>
      </c>
      <c r="B21" s="12" t="s">
        <v>465</v>
      </c>
      <c r="C21" s="12" t="s">
        <v>466</v>
      </c>
      <c r="D21" s="106" t="s">
        <v>69</v>
      </c>
      <c r="E21" s="5"/>
    </row>
    <row r="22" spans="1:5">
      <c r="A22" s="80">
        <v>16</v>
      </c>
      <c r="B22" s="12" t="s">
        <v>467</v>
      </c>
      <c r="C22" s="12" t="s">
        <v>468</v>
      </c>
      <c r="D22" s="106" t="s">
        <v>70</v>
      </c>
      <c r="E22" s="5"/>
    </row>
    <row r="23" spans="1:5" ht="27.9" customHeight="1">
      <c r="A23" s="80">
        <v>17</v>
      </c>
      <c r="B23" s="12" t="s">
        <v>469</v>
      </c>
      <c r="C23" s="12" t="s">
        <v>470</v>
      </c>
      <c r="D23" s="106" t="s">
        <v>71</v>
      </c>
      <c r="E23" s="5"/>
    </row>
    <row r="24" spans="1:5">
      <c r="A24" s="80">
        <v>18</v>
      </c>
      <c r="B24" s="12"/>
      <c r="C24" s="12" t="s">
        <v>472</v>
      </c>
      <c r="D24" s="5" t="s">
        <v>499</v>
      </c>
      <c r="E24" s="5"/>
    </row>
    <row r="25" spans="1:5" ht="28.5" customHeight="1">
      <c r="A25" s="80">
        <v>19</v>
      </c>
      <c r="B25" s="12" t="s">
        <v>471</v>
      </c>
      <c r="C25" s="12" t="s">
        <v>474</v>
      </c>
      <c r="D25" s="106" t="s">
        <v>71</v>
      </c>
      <c r="E25" s="5"/>
    </row>
    <row r="26" spans="1:5">
      <c r="A26" s="80">
        <v>20</v>
      </c>
      <c r="B26" s="12"/>
      <c r="C26" s="12" t="s">
        <v>473</v>
      </c>
      <c r="D26" s="5" t="s">
        <v>500</v>
      </c>
      <c r="E26" s="5"/>
    </row>
    <row r="27" spans="1:5">
      <c r="A27" s="80">
        <v>21</v>
      </c>
      <c r="B27" s="12" t="s">
        <v>475</v>
      </c>
      <c r="C27" s="12" t="s">
        <v>476</v>
      </c>
      <c r="D27" s="106" t="s">
        <v>72</v>
      </c>
      <c r="E27" s="5"/>
    </row>
    <row r="28" spans="1:5">
      <c r="A28" s="80">
        <v>22</v>
      </c>
      <c r="B28" s="12" t="s">
        <v>477</v>
      </c>
      <c r="C28" s="12" t="s">
        <v>478</v>
      </c>
      <c r="D28" s="106" t="s">
        <v>72</v>
      </c>
      <c r="E28" s="5"/>
    </row>
    <row r="29" spans="1:5">
      <c r="A29" s="80">
        <v>23</v>
      </c>
      <c r="B29" s="12" t="s">
        <v>73</v>
      </c>
      <c r="C29" s="12"/>
      <c r="D29" s="108"/>
      <c r="E29" s="110" t="s">
        <v>391</v>
      </c>
    </row>
    <row r="30" spans="1:5">
      <c r="A30" s="80">
        <v>24</v>
      </c>
      <c r="B30" s="12" t="s">
        <v>502</v>
      </c>
      <c r="C30" s="12" t="s">
        <v>479</v>
      </c>
      <c r="D30" s="106">
        <v>500</v>
      </c>
      <c r="E30" s="5"/>
    </row>
    <row r="31" spans="1:5">
      <c r="A31" s="80">
        <v>25</v>
      </c>
      <c r="B31" s="12" t="s">
        <v>501</v>
      </c>
      <c r="C31" s="12" t="s">
        <v>480</v>
      </c>
      <c r="D31" s="106">
        <v>100</v>
      </c>
      <c r="E31" s="5"/>
    </row>
    <row r="32" spans="1:5" ht="26.4">
      <c r="A32" s="80">
        <v>26</v>
      </c>
      <c r="B32" s="12" t="s">
        <v>481</v>
      </c>
      <c r="C32" s="12" t="s">
        <v>482</v>
      </c>
      <c r="D32" s="106" t="s">
        <v>74</v>
      </c>
      <c r="E32" s="5"/>
    </row>
    <row r="33" spans="1:5">
      <c r="A33" s="80">
        <v>27</v>
      </c>
      <c r="B33" s="12" t="s">
        <v>503</v>
      </c>
      <c r="C33" s="12" t="s">
        <v>484</v>
      </c>
      <c r="D33" s="108">
        <v>160</v>
      </c>
      <c r="E33" s="5"/>
    </row>
    <row r="34" spans="1:5">
      <c r="A34" s="80">
        <v>28</v>
      </c>
      <c r="B34" s="12" t="s">
        <v>505</v>
      </c>
      <c r="C34" s="12" t="s">
        <v>483</v>
      </c>
      <c r="D34" s="108" t="s">
        <v>504</v>
      </c>
      <c r="E34" s="5"/>
    </row>
    <row r="35" spans="1:5" ht="27.6" customHeight="1">
      <c r="A35" s="80">
        <v>29</v>
      </c>
      <c r="B35" s="12" t="s">
        <v>506</v>
      </c>
      <c r="C35" s="12" t="s">
        <v>485</v>
      </c>
      <c r="D35" s="106">
        <v>10</v>
      </c>
      <c r="E35" s="5"/>
    </row>
    <row r="36" spans="1:5">
      <c r="A36" s="80">
        <v>30</v>
      </c>
      <c r="B36" s="12" t="s">
        <v>75</v>
      </c>
      <c r="C36" s="12"/>
      <c r="D36" s="108" t="s">
        <v>76</v>
      </c>
      <c r="E36" s="5"/>
    </row>
    <row r="37" spans="1:5">
      <c r="A37" s="80">
        <v>31</v>
      </c>
      <c r="B37" s="12" t="s">
        <v>77</v>
      </c>
      <c r="C37" s="12"/>
      <c r="D37" s="108"/>
      <c r="E37" s="110" t="s">
        <v>391</v>
      </c>
    </row>
    <row r="38" spans="1:5" ht="26.4">
      <c r="A38" s="80">
        <v>32</v>
      </c>
      <c r="B38" s="12" t="s">
        <v>486</v>
      </c>
      <c r="C38" s="12" t="s">
        <v>487</v>
      </c>
      <c r="D38" s="106" t="s">
        <v>78</v>
      </c>
      <c r="E38" s="5"/>
    </row>
    <row r="39" spans="1:5">
      <c r="A39" s="80">
        <v>33</v>
      </c>
      <c r="B39" s="12" t="s">
        <v>79</v>
      </c>
      <c r="C39" s="12"/>
      <c r="D39" s="108" t="s">
        <v>76</v>
      </c>
      <c r="E39" s="5"/>
    </row>
    <row r="40" spans="1:5">
      <c r="A40" s="80">
        <v>34</v>
      </c>
      <c r="B40" s="12" t="s">
        <v>488</v>
      </c>
      <c r="C40" s="12" t="s">
        <v>489</v>
      </c>
      <c r="D40" s="106" t="s">
        <v>80</v>
      </c>
      <c r="E40" s="5"/>
    </row>
    <row r="41" spans="1:5">
      <c r="A41" s="80">
        <v>35</v>
      </c>
      <c r="B41" s="12" t="s">
        <v>507</v>
      </c>
      <c r="C41" s="12" t="s">
        <v>490</v>
      </c>
      <c r="D41" s="108">
        <v>30</v>
      </c>
      <c r="E41" s="5"/>
    </row>
    <row r="42" spans="1:5" ht="26.4">
      <c r="A42" s="80">
        <v>36</v>
      </c>
      <c r="B42" s="12" t="s">
        <v>491</v>
      </c>
      <c r="C42" s="12" t="s">
        <v>492</v>
      </c>
      <c r="D42" s="106" t="s">
        <v>81</v>
      </c>
      <c r="E42" s="5"/>
    </row>
    <row r="43" spans="1:5">
      <c r="A43" s="80">
        <v>37</v>
      </c>
      <c r="B43" s="12" t="s">
        <v>508</v>
      </c>
      <c r="C43" s="12" t="s">
        <v>493</v>
      </c>
      <c r="D43" s="106">
        <v>2600</v>
      </c>
      <c r="E43" s="5"/>
    </row>
    <row r="44" spans="1:5">
      <c r="A44" s="80">
        <v>38</v>
      </c>
      <c r="B44" s="12" t="s">
        <v>509</v>
      </c>
      <c r="C44" s="12" t="s">
        <v>494</v>
      </c>
      <c r="D44" s="106">
        <v>0</v>
      </c>
      <c r="E44" s="5"/>
    </row>
    <row r="45" spans="1:5">
      <c r="A45" s="80">
        <v>39</v>
      </c>
      <c r="B45" s="12" t="s">
        <v>510</v>
      </c>
      <c r="C45" s="12" t="s">
        <v>495</v>
      </c>
      <c r="D45" s="106">
        <v>1800</v>
      </c>
      <c r="E45" s="5"/>
    </row>
    <row r="46" spans="1:5" ht="26.4">
      <c r="A46" s="80">
        <v>40</v>
      </c>
      <c r="B46" s="12" t="s">
        <v>82</v>
      </c>
      <c r="C46" s="12"/>
      <c r="D46" s="108" t="s">
        <v>26</v>
      </c>
      <c r="E46" s="5"/>
    </row>
    <row r="47" spans="1:5" ht="26.4">
      <c r="A47" s="80">
        <v>41</v>
      </c>
      <c r="B47" s="12" t="s">
        <v>83</v>
      </c>
      <c r="C47" s="12"/>
      <c r="D47" s="108" t="s">
        <v>26</v>
      </c>
      <c r="E47" s="5"/>
    </row>
    <row r="48" spans="1:5" ht="26.4">
      <c r="A48" s="80">
        <v>42</v>
      </c>
      <c r="B48" s="81" t="s">
        <v>84</v>
      </c>
      <c r="C48" s="81"/>
      <c r="D48" s="108" t="s">
        <v>85</v>
      </c>
      <c r="E48" s="79"/>
    </row>
    <row r="49" spans="1:5">
      <c r="A49" s="111">
        <v>43</v>
      </c>
      <c r="B49" s="12" t="s">
        <v>397</v>
      </c>
      <c r="C49" s="12"/>
      <c r="D49" s="5" t="s">
        <v>399</v>
      </c>
      <c r="E49" s="5"/>
    </row>
  </sheetData>
  <sheetProtection selectLockedCells="1"/>
  <mergeCells count="1">
    <mergeCell ref="C3:C4"/>
  </mergeCells>
  <dataValidations count="11">
    <dataValidation type="list" allowBlank="1" showInputMessage="1" showErrorMessage="1" sqref="D7" xr:uid="{EABD69B6-43EA-4905-A5D9-431ECBF6659A}">
      <formula1>"Approved , Tentative"</formula1>
    </dataValidation>
    <dataValidation type="list" allowBlank="1" showInputMessage="1" showErrorMessage="1" sqref="D33" xr:uid="{918BB4D1-F0C8-45F9-9F3B-0156FBC2AC80}">
      <formula1>"10,40,80,160"</formula1>
    </dataValidation>
    <dataValidation type="list" allowBlank="1" showInputMessage="1" showErrorMessage="1" sqref="D36:D37 D39" xr:uid="{5640BF0B-8411-4D01-99E3-8D5489131366}">
      <formula1>"Yes,No"</formula1>
    </dataValidation>
    <dataValidation type="list" allowBlank="1" showInputMessage="1" showErrorMessage="1" sqref="D41" xr:uid="{0FA8E768-260D-4182-B7A8-0C4056A587A0}">
      <formula1>"10,30"</formula1>
    </dataValidation>
    <dataValidation type="list" allowBlank="1" showInputMessage="1" showErrorMessage="1" sqref="D47" xr:uid="{F9CED921-FAA3-40B6-B2E7-9418A97A4440}">
      <formula1>"Yes Refer DP &amp;TS table for the DT Mode details,No"</formula1>
    </dataValidation>
    <dataValidation type="list" allowBlank="1" showInputMessage="1" showErrorMessage="1" sqref="D48" xr:uid="{16BB61C0-36D8-4724-9CB2-31E3B5CAC44F}">
      <formula1>"Yes refer remarks for the FDS allocation details,No"</formula1>
    </dataValidation>
    <dataValidation type="list" allowBlank="1" showInputMessage="1" showErrorMessage="1" sqref="D46" xr:uid="{62724BB3-7E6D-4E92-9ABC-212EFB4B1ECA}">
      <formula1>"Yes refer remarks for the details required fro sync,No"</formula1>
    </dataValidation>
    <dataValidation type="list" allowBlank="1" showInputMessage="1" showErrorMessage="1" sqref="D34" xr:uid="{55080117-EDDA-43B7-9D6E-837F524C61BE}">
      <formula1>"340 &amp; 610"</formula1>
    </dataValidation>
    <dataValidation type="list" allowBlank="1" showInputMessage="1" showErrorMessage="1" sqref="D19" xr:uid="{816B3260-D3EA-4FF9-BD0C-5791866BA9E6}">
      <formula1>"0: Simulation of an occupancy enable,1: Simulation of an occupancy disable"</formula1>
    </dataValidation>
    <dataValidation type="list" allowBlank="1" showInputMessage="1" showErrorMessage="1" sqref="D24 D26" xr:uid="{473CB57C-0F0C-4A69-B642-B29F6BC77A57}">
      <formula1>"0: Open in Normal status, 1: Closed in Normal Status"</formula1>
    </dataValidation>
    <dataValidation type="list" allowBlank="1" showInputMessage="1" showErrorMessage="1" sqref="D8" xr:uid="{B85ACBA8-6718-4888-B058-9A3821D87999}">
      <formula1>"1 to 4095"</formula1>
    </dataValidation>
  </dataValidations>
  <pageMargins left="0.7" right="0.7" top="0.75" bottom="0.75" header="0.3" footer="0.3"/>
  <pageSetup paperSize="9" scale="52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0E97A1-CF6C-4FA4-AA64-64F52FCE76DA}">
          <x14:formula1>
            <xm:f>'DD List'!$J$45:$J$46</xm:f>
          </x14:formula1>
          <xm:sqref>D15:D17</xm:sqref>
        </x14:dataValidation>
        <x14:dataValidation type="list" allowBlank="1" showInputMessage="1" showErrorMessage="1" xr:uid="{A8AECED9-7068-4B10-8FD4-3FE469130E75}">
          <x14:formula1>
            <xm:f>'DD List'!$J$51:$J$52</xm:f>
          </x14:formula1>
          <xm:sqref>D29</xm:sqref>
        </x14:dataValidation>
        <x14:dataValidation type="list" allowBlank="1" showInputMessage="1" showErrorMessage="1" xr:uid="{51538201-49D9-4591-8691-D465DF2B9AFF}">
          <x14:formula1>
            <xm:f>'DD List'!$J$64:$J$67</xm:f>
          </x14:formula1>
          <xm:sqref>D49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721E-6BE4-4D50-96F9-7D02C46EC3A3}">
  <dimension ref="A1:M10"/>
  <sheetViews>
    <sheetView showGridLines="0" topLeftCell="A21" workbookViewId="0">
      <selection activeCell="E4" sqref="E4"/>
    </sheetView>
  </sheetViews>
  <sheetFormatPr defaultRowHeight="13.2"/>
  <cols>
    <col min="1" max="1" width="5.88671875" bestFit="1" customWidth="1"/>
    <col min="2" max="2" width="22.6640625" bestFit="1" customWidth="1"/>
    <col min="3" max="3" width="14.109375" bestFit="1" customWidth="1"/>
    <col min="4" max="4" width="14.109375" customWidth="1"/>
    <col min="5" max="5" width="55.5546875" customWidth="1"/>
    <col min="6" max="6" width="15.44140625" bestFit="1" customWidth="1"/>
    <col min="7" max="7" width="26.88671875" bestFit="1" customWidth="1"/>
    <col min="8" max="8" width="29.6640625" bestFit="1" customWidth="1"/>
    <col min="10" max="10" width="6.109375" bestFit="1" customWidth="1"/>
    <col min="11" max="11" width="11.5546875" bestFit="1" customWidth="1"/>
    <col min="12" max="12" width="16.33203125" bestFit="1" customWidth="1"/>
  </cols>
  <sheetData>
    <row r="1" spans="1:13" ht="16.2">
      <c r="A1" s="119" t="s">
        <v>86</v>
      </c>
      <c r="B1" s="119" t="s">
        <v>87</v>
      </c>
      <c r="C1" s="121" t="s">
        <v>88</v>
      </c>
      <c r="D1" s="122"/>
      <c r="E1" s="119" t="s">
        <v>89</v>
      </c>
      <c r="F1" s="119" t="s">
        <v>90</v>
      </c>
      <c r="G1" s="119" t="s">
        <v>402</v>
      </c>
      <c r="H1" s="119" t="s">
        <v>403</v>
      </c>
      <c r="J1" s="119" t="s">
        <v>86</v>
      </c>
      <c r="K1" s="119" t="s">
        <v>404</v>
      </c>
      <c r="L1" s="119" t="s">
        <v>405</v>
      </c>
      <c r="M1" s="119" t="s">
        <v>406</v>
      </c>
    </row>
    <row r="2" spans="1:13" ht="16.2">
      <c r="A2" s="120"/>
      <c r="B2" s="120"/>
      <c r="C2" s="112" t="s">
        <v>407</v>
      </c>
      <c r="D2" s="112" t="s">
        <v>408</v>
      </c>
      <c r="E2" s="120"/>
      <c r="F2" s="120"/>
      <c r="G2" s="120"/>
      <c r="H2" s="120"/>
      <c r="J2" s="120"/>
      <c r="K2" s="120"/>
      <c r="L2" s="120"/>
      <c r="M2" s="120"/>
    </row>
    <row r="3" spans="1:13">
      <c r="A3" s="113">
        <v>1</v>
      </c>
      <c r="B3" s="114" t="s">
        <v>409</v>
      </c>
      <c r="C3" s="114" t="s">
        <v>410</v>
      </c>
      <c r="D3" s="114" t="s">
        <v>411</v>
      </c>
      <c r="E3" s="114" t="s">
        <v>412</v>
      </c>
      <c r="F3" s="114" t="s">
        <v>92</v>
      </c>
      <c r="G3" s="114" t="s">
        <v>413</v>
      </c>
      <c r="H3" s="114" t="s">
        <v>414</v>
      </c>
      <c r="J3" s="113">
        <v>1</v>
      </c>
      <c r="K3" s="113" t="s">
        <v>410</v>
      </c>
      <c r="L3" s="113" t="s">
        <v>415</v>
      </c>
      <c r="M3" s="113" t="s">
        <v>416</v>
      </c>
    </row>
    <row r="4" spans="1:13">
      <c r="A4" s="113">
        <v>2</v>
      </c>
      <c r="B4" s="114" t="s">
        <v>417</v>
      </c>
      <c r="C4" s="114" t="s">
        <v>411</v>
      </c>
      <c r="D4" s="114" t="s">
        <v>418</v>
      </c>
      <c r="E4" s="114" t="s">
        <v>419</v>
      </c>
      <c r="F4" s="114" t="s">
        <v>92</v>
      </c>
      <c r="G4" s="114" t="s">
        <v>420</v>
      </c>
      <c r="H4" s="114" t="s">
        <v>414</v>
      </c>
      <c r="J4" s="113">
        <v>2</v>
      </c>
      <c r="K4" s="113" t="s">
        <v>411</v>
      </c>
      <c r="L4" s="113" t="s">
        <v>415</v>
      </c>
      <c r="M4" s="113" t="s">
        <v>414</v>
      </c>
    </row>
    <row r="5" spans="1:13">
      <c r="A5" s="113">
        <v>3</v>
      </c>
      <c r="B5" s="114" t="s">
        <v>421</v>
      </c>
      <c r="C5" s="114" t="s">
        <v>418</v>
      </c>
      <c r="D5" s="114" t="s">
        <v>422</v>
      </c>
      <c r="E5" s="114" t="s">
        <v>423</v>
      </c>
      <c r="F5" s="114" t="s">
        <v>92</v>
      </c>
      <c r="G5" s="114" t="s">
        <v>424</v>
      </c>
      <c r="H5" s="114" t="s">
        <v>416</v>
      </c>
      <c r="J5" s="113">
        <v>3</v>
      </c>
      <c r="K5" s="113" t="s">
        <v>418</v>
      </c>
      <c r="L5" s="113" t="s">
        <v>415</v>
      </c>
      <c r="M5" s="113" t="s">
        <v>414</v>
      </c>
    </row>
    <row r="6" spans="1:13">
      <c r="A6" s="113">
        <v>4</v>
      </c>
      <c r="B6" s="114" t="s">
        <v>425</v>
      </c>
      <c r="C6" s="114" t="s">
        <v>410</v>
      </c>
      <c r="D6" s="114" t="s">
        <v>418</v>
      </c>
      <c r="E6" s="114" t="s">
        <v>423</v>
      </c>
      <c r="F6" s="114" t="s">
        <v>426</v>
      </c>
      <c r="G6" s="114" t="s">
        <v>427</v>
      </c>
      <c r="H6" s="114" t="s">
        <v>414</v>
      </c>
      <c r="J6" s="113">
        <v>4</v>
      </c>
      <c r="K6" s="113" t="s">
        <v>428</v>
      </c>
      <c r="L6" s="113" t="s">
        <v>415</v>
      </c>
      <c r="M6" s="113" t="s">
        <v>416</v>
      </c>
    </row>
    <row r="7" spans="1:13">
      <c r="A7" s="113">
        <v>5</v>
      </c>
      <c r="B7" s="114" t="s">
        <v>429</v>
      </c>
      <c r="C7" s="114" t="s">
        <v>430</v>
      </c>
      <c r="D7" s="114" t="s">
        <v>431</v>
      </c>
      <c r="E7" s="114" t="s">
        <v>412</v>
      </c>
      <c r="F7" s="114" t="s">
        <v>92</v>
      </c>
      <c r="G7" s="114" t="s">
        <v>432</v>
      </c>
      <c r="H7" s="114" t="s">
        <v>414</v>
      </c>
      <c r="J7" s="113">
        <v>5</v>
      </c>
      <c r="K7" s="113" t="s">
        <v>433</v>
      </c>
      <c r="L7" s="113" t="s">
        <v>415</v>
      </c>
      <c r="M7" s="113" t="s">
        <v>416</v>
      </c>
    </row>
    <row r="8" spans="1:13">
      <c r="A8" s="113">
        <v>6</v>
      </c>
      <c r="B8" s="114" t="s">
        <v>434</v>
      </c>
      <c r="C8" s="114" t="s">
        <v>431</v>
      </c>
      <c r="D8" s="114" t="s">
        <v>435</v>
      </c>
      <c r="E8" s="114" t="s">
        <v>419</v>
      </c>
      <c r="F8" s="114" t="s">
        <v>92</v>
      </c>
      <c r="G8" s="114" t="s">
        <v>436</v>
      </c>
      <c r="H8" s="114" t="s">
        <v>414</v>
      </c>
      <c r="J8" s="113">
        <v>6</v>
      </c>
      <c r="K8" s="113" t="s">
        <v>430</v>
      </c>
      <c r="L8" s="113" t="s">
        <v>437</v>
      </c>
      <c r="M8" s="113" t="s">
        <v>416</v>
      </c>
    </row>
    <row r="9" spans="1:13">
      <c r="A9" s="113">
        <v>7</v>
      </c>
      <c r="B9" s="114" t="s">
        <v>438</v>
      </c>
      <c r="C9" s="114" t="s">
        <v>430</v>
      </c>
      <c r="D9" s="114" t="s">
        <v>435</v>
      </c>
      <c r="E9" s="114" t="s">
        <v>423</v>
      </c>
      <c r="F9" s="114" t="s">
        <v>426</v>
      </c>
      <c r="G9" s="114" t="s">
        <v>439</v>
      </c>
      <c r="H9" s="114" t="s">
        <v>414</v>
      </c>
      <c r="J9" s="113">
        <v>7</v>
      </c>
      <c r="K9" s="113" t="s">
        <v>431</v>
      </c>
      <c r="L9" s="113" t="s">
        <v>437</v>
      </c>
      <c r="M9" s="113" t="s">
        <v>414</v>
      </c>
    </row>
    <row r="10" spans="1:13">
      <c r="J10" s="113">
        <v>8</v>
      </c>
      <c r="K10" s="113" t="s">
        <v>435</v>
      </c>
      <c r="L10" s="113" t="s">
        <v>437</v>
      </c>
      <c r="M10" s="113" t="s">
        <v>414</v>
      </c>
    </row>
  </sheetData>
  <sheetProtection selectLockedCells="1" selectUnlockedCells="1"/>
  <mergeCells count="11">
    <mergeCell ref="A1:A2"/>
    <mergeCell ref="B1:B2"/>
    <mergeCell ref="C1:D1"/>
    <mergeCell ref="E1:E2"/>
    <mergeCell ref="F1:F2"/>
    <mergeCell ref="M1:M2"/>
    <mergeCell ref="G1:G2"/>
    <mergeCell ref="H1:H2"/>
    <mergeCell ref="J1:J2"/>
    <mergeCell ref="K1:K2"/>
    <mergeCell ref="L1:L2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A42D-F669-4A7F-957C-E515673A4CE4}">
  <dimension ref="A1:G12"/>
  <sheetViews>
    <sheetView workbookViewId="0">
      <selection activeCell="D13" sqref="D13"/>
    </sheetView>
  </sheetViews>
  <sheetFormatPr defaultRowHeight="13.2"/>
  <cols>
    <col min="1" max="7" width="22.88671875" customWidth="1"/>
  </cols>
  <sheetData>
    <row r="1" spans="1:7" ht="13.8">
      <c r="A1" s="123" t="s">
        <v>440</v>
      </c>
      <c r="B1" s="124"/>
      <c r="C1" s="124"/>
      <c r="D1" s="124"/>
      <c r="E1" s="125" t="s">
        <v>441</v>
      </c>
      <c r="F1" s="126"/>
      <c r="G1" s="126"/>
    </row>
    <row r="2" spans="1:7" ht="26.4">
      <c r="A2" s="115" t="s">
        <v>404</v>
      </c>
      <c r="B2" s="115" t="s">
        <v>442</v>
      </c>
      <c r="C2" s="115" t="s">
        <v>443</v>
      </c>
      <c r="D2" s="115" t="s">
        <v>444</v>
      </c>
      <c r="E2" s="115" t="s">
        <v>445</v>
      </c>
      <c r="F2" s="115" t="s">
        <v>446</v>
      </c>
      <c r="G2" s="115" t="s">
        <v>405</v>
      </c>
    </row>
    <row r="3" spans="1:7">
      <c r="A3" s="116"/>
      <c r="B3" s="116"/>
      <c r="C3" s="116"/>
      <c r="D3" s="116"/>
      <c r="E3" s="116"/>
      <c r="F3" s="116"/>
      <c r="G3" s="116"/>
    </row>
    <row r="4" spans="1:7">
      <c r="A4" s="116"/>
      <c r="B4" s="116"/>
      <c r="C4" s="116"/>
      <c r="D4" s="116"/>
      <c r="E4" s="116"/>
      <c r="F4" s="116"/>
      <c r="G4" s="116"/>
    </row>
    <row r="5" spans="1:7">
      <c r="A5" s="116"/>
      <c r="B5" s="116"/>
      <c r="C5" s="116"/>
      <c r="D5" s="116"/>
      <c r="E5" s="116"/>
      <c r="F5" s="116"/>
      <c r="G5" s="116"/>
    </row>
    <row r="6" spans="1:7">
      <c r="A6" s="116"/>
      <c r="B6" s="116"/>
      <c r="C6" s="116"/>
      <c r="D6" s="116"/>
      <c r="E6" s="116"/>
      <c r="F6" s="116"/>
      <c r="G6" s="116"/>
    </row>
    <row r="7" spans="1:7">
      <c r="A7" s="116"/>
      <c r="B7" s="116"/>
      <c r="C7" s="116"/>
      <c r="D7" s="116"/>
      <c r="E7" s="116"/>
      <c r="F7" s="116"/>
      <c r="G7" s="116"/>
    </row>
    <row r="8" spans="1:7">
      <c r="A8" s="116"/>
      <c r="B8" s="116"/>
      <c r="C8" s="116"/>
      <c r="D8" s="116"/>
      <c r="E8" s="116"/>
      <c r="F8" s="116"/>
      <c r="G8" s="116"/>
    </row>
    <row r="9" spans="1:7">
      <c r="A9" s="116"/>
      <c r="B9" s="116"/>
      <c r="C9" s="116"/>
      <c r="D9" s="116"/>
      <c r="E9" s="116"/>
      <c r="F9" s="116"/>
      <c r="G9" s="116"/>
    </row>
    <row r="10" spans="1:7">
      <c r="A10" s="116"/>
      <c r="B10" s="116"/>
      <c r="C10" s="116"/>
      <c r="D10" s="116"/>
      <c r="E10" s="116"/>
      <c r="F10" s="116"/>
      <c r="G10" s="116"/>
    </row>
    <row r="11" spans="1:7">
      <c r="A11" s="116"/>
      <c r="B11" s="116"/>
      <c r="C11" s="116"/>
      <c r="D11" s="116"/>
      <c r="E11" s="116"/>
      <c r="F11" s="116"/>
      <c r="G11" s="116"/>
    </row>
    <row r="12" spans="1:7">
      <c r="A12" s="116"/>
      <c r="B12" s="116"/>
      <c r="C12" s="116"/>
      <c r="D12" s="116"/>
      <c r="E12" s="116"/>
      <c r="F12" s="116"/>
      <c r="G12" s="116"/>
    </row>
  </sheetData>
  <mergeCells count="2">
    <mergeCell ref="A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A4A4-27A7-46DC-AC53-8A70A4CE61F2}">
  <dimension ref="A1:I1048576"/>
  <sheetViews>
    <sheetView topLeftCell="A21" zoomScale="115" zoomScaleNormal="115" zoomScaleSheetLayoutView="100" workbookViewId="0">
      <selection activeCell="C25" sqref="C25"/>
    </sheetView>
  </sheetViews>
  <sheetFormatPr defaultColWidth="9.109375" defaultRowHeight="13.2" outlineLevelRow="1"/>
  <cols>
    <col min="1" max="1" width="7" style="17" bestFit="1" customWidth="1"/>
    <col min="2" max="2" width="72.109375" style="18" customWidth="1"/>
    <col min="3" max="3" width="48.6640625" style="11" customWidth="1"/>
    <col min="4" max="4" width="21.5546875" style="11" customWidth="1"/>
    <col min="5" max="5" width="32.5546875" style="2" customWidth="1"/>
    <col min="6" max="6" width="10.33203125" style="2" bestFit="1" customWidth="1"/>
    <col min="7" max="7" width="32.109375" style="2" customWidth="1"/>
    <col min="8" max="8" width="3.109375" style="2" customWidth="1"/>
    <col min="9" max="9" width="9.88671875" style="2" customWidth="1"/>
    <col min="10" max="15" width="9.109375" style="2"/>
    <col min="16" max="16" width="10.5546875" style="2" customWidth="1"/>
    <col min="17" max="16384" width="9.109375" style="2"/>
  </cols>
  <sheetData>
    <row r="1" spans="1:7" ht="48" customHeight="1">
      <c r="A1" s="25"/>
      <c r="B1" s="25"/>
      <c r="C1" s="25"/>
      <c r="D1" s="25"/>
      <c r="E1" s="25"/>
      <c r="F1" s="127" t="s">
        <v>93</v>
      </c>
      <c r="G1" s="127"/>
    </row>
    <row r="2" spans="1:7" ht="16.2">
      <c r="A2" s="39"/>
      <c r="B2" s="40"/>
      <c r="C2" s="134" t="s">
        <v>94</v>
      </c>
      <c r="D2" s="134"/>
      <c r="E2" s="130" t="s">
        <v>95</v>
      </c>
      <c r="F2" s="130"/>
      <c r="G2" s="30"/>
    </row>
    <row r="3" spans="1:7" ht="16.2">
      <c r="A3" s="31"/>
      <c r="B3" s="25"/>
      <c r="C3" s="25"/>
      <c r="D3" s="26"/>
      <c r="E3" s="26"/>
      <c r="F3" s="25"/>
      <c r="G3" s="32"/>
    </row>
    <row r="4" spans="1:7" ht="16.2">
      <c r="A4" s="31"/>
      <c r="B4" s="25"/>
      <c r="C4" s="25"/>
      <c r="D4" s="26"/>
      <c r="E4" s="26"/>
      <c r="F4" s="25"/>
      <c r="G4" s="32"/>
    </row>
    <row r="5" spans="1:7" ht="16.2">
      <c r="A5" s="31"/>
      <c r="B5" s="25"/>
      <c r="C5" s="25"/>
      <c r="D5" s="26"/>
      <c r="E5" s="26"/>
      <c r="F5" s="25"/>
      <c r="G5" s="32"/>
    </row>
    <row r="6" spans="1:7" ht="39" customHeight="1">
      <c r="A6" s="33" t="s">
        <v>96</v>
      </c>
      <c r="B6" s="38"/>
      <c r="C6" s="41"/>
      <c r="D6" s="26"/>
      <c r="E6" s="26"/>
      <c r="F6" s="25"/>
      <c r="G6" s="32"/>
    </row>
    <row r="7" spans="1:7" ht="16.2">
      <c r="A7" s="33"/>
      <c r="B7" s="38"/>
      <c r="C7" s="25"/>
      <c r="D7" s="26"/>
      <c r="E7" s="26"/>
      <c r="F7" s="25"/>
      <c r="G7" s="32"/>
    </row>
    <row r="8" spans="1:7" ht="36" customHeight="1">
      <c r="A8" s="44" t="s">
        <v>97</v>
      </c>
      <c r="B8" s="38"/>
      <c r="C8" s="41"/>
      <c r="D8" s="26"/>
      <c r="E8" s="26"/>
      <c r="F8" s="25"/>
      <c r="G8" s="32"/>
    </row>
    <row r="9" spans="1:7" ht="16.2">
      <c r="A9" s="33"/>
      <c r="B9" s="38"/>
      <c r="C9" s="25"/>
      <c r="D9" s="26"/>
      <c r="E9" s="26"/>
      <c r="F9" s="25"/>
      <c r="G9" s="32"/>
    </row>
    <row r="10" spans="1:7" ht="34.5" customHeight="1">
      <c r="A10" s="33" t="s">
        <v>98</v>
      </c>
      <c r="B10" s="38"/>
      <c r="C10" s="41"/>
      <c r="D10" s="26"/>
      <c r="E10" s="26"/>
      <c r="F10" s="25"/>
      <c r="G10" s="32"/>
    </row>
    <row r="11" spans="1:7" ht="16.2">
      <c r="A11" s="33"/>
      <c r="B11" s="38"/>
      <c r="C11" s="25"/>
      <c r="D11" s="26"/>
      <c r="E11" s="26"/>
      <c r="F11" s="25"/>
      <c r="G11" s="32"/>
    </row>
    <row r="12" spans="1:7" ht="33.75" customHeight="1">
      <c r="A12" s="33" t="s">
        <v>99</v>
      </c>
      <c r="B12" s="38"/>
      <c r="C12" s="41"/>
      <c r="D12" s="26"/>
      <c r="E12" s="26"/>
      <c r="F12" s="25"/>
      <c r="G12" s="32"/>
    </row>
    <row r="13" spans="1:7" ht="16.2">
      <c r="A13" s="33"/>
      <c r="B13" s="38"/>
      <c r="C13" s="25"/>
      <c r="D13" s="26"/>
      <c r="E13" s="26"/>
      <c r="F13" s="25"/>
      <c r="G13" s="32"/>
    </row>
    <row r="14" spans="1:7" ht="40.5" customHeight="1">
      <c r="A14" s="33" t="s">
        <v>100</v>
      </c>
      <c r="B14" s="38"/>
      <c r="C14" s="41"/>
      <c r="D14" s="26"/>
      <c r="E14" s="26"/>
      <c r="F14" s="25"/>
      <c r="G14" s="32"/>
    </row>
    <row r="15" spans="1:7" ht="16.2">
      <c r="A15" s="34"/>
      <c r="B15" s="35"/>
      <c r="C15" s="35"/>
      <c r="D15" s="36"/>
      <c r="E15" s="36"/>
      <c r="F15" s="35"/>
      <c r="G15" s="37"/>
    </row>
    <row r="16" spans="1:7" ht="32.4">
      <c r="A16" s="27" t="s">
        <v>10</v>
      </c>
      <c r="B16" s="28" t="s">
        <v>101</v>
      </c>
      <c r="C16" s="28" t="s">
        <v>12</v>
      </c>
      <c r="D16" s="29" t="s">
        <v>102</v>
      </c>
      <c r="E16" s="29" t="s">
        <v>103</v>
      </c>
      <c r="F16" s="28" t="s">
        <v>104</v>
      </c>
      <c r="G16" s="28" t="s">
        <v>13</v>
      </c>
    </row>
    <row r="17" spans="1:7" ht="14.4">
      <c r="A17" s="55">
        <v>1</v>
      </c>
      <c r="B17" s="46" t="s">
        <v>105</v>
      </c>
      <c r="C17" s="47"/>
      <c r="D17" s="47"/>
      <c r="E17" s="47"/>
      <c r="F17" s="47"/>
      <c r="G17" s="48"/>
    </row>
    <row r="18" spans="1:7" s="8" customFormat="1">
      <c r="A18" s="56">
        <f>A17+0.01</f>
        <v>1.01</v>
      </c>
      <c r="B18" s="3" t="s">
        <v>106</v>
      </c>
      <c r="C18" s="5"/>
      <c r="D18" s="43"/>
      <c r="E18" s="6" t="s">
        <v>107</v>
      </c>
      <c r="F18" s="7"/>
      <c r="G18" s="6"/>
    </row>
    <row r="19" spans="1:7" s="8" customFormat="1">
      <c r="A19" s="72">
        <f>A18+0.01</f>
        <v>1.02</v>
      </c>
      <c r="B19" s="3" t="s">
        <v>108</v>
      </c>
      <c r="C19" s="43"/>
      <c r="D19" s="5"/>
      <c r="E19" s="6" t="s">
        <v>107</v>
      </c>
      <c r="F19" s="7"/>
      <c r="G19" s="6"/>
    </row>
    <row r="20" spans="1:7" s="8" customFormat="1">
      <c r="A20" s="128">
        <f>A19+0.01</f>
        <v>1.03</v>
      </c>
      <c r="B20" s="129" t="s">
        <v>109</v>
      </c>
      <c r="C20" s="3" t="s">
        <v>110</v>
      </c>
      <c r="D20" s="5"/>
      <c r="E20" s="6" t="s">
        <v>111</v>
      </c>
      <c r="F20" s="7"/>
      <c r="G20" s="6"/>
    </row>
    <row r="21" spans="1:7" s="8" customFormat="1">
      <c r="A21" s="128"/>
      <c r="B21" s="129"/>
      <c r="C21" s="3" t="s">
        <v>112</v>
      </c>
      <c r="D21" s="5"/>
      <c r="E21" s="6" t="s">
        <v>111</v>
      </c>
      <c r="F21" s="7"/>
      <c r="G21" s="6"/>
    </row>
    <row r="22" spans="1:7" s="8" customFormat="1">
      <c r="A22" s="128"/>
      <c r="B22" s="129"/>
      <c r="C22" s="3" t="s">
        <v>113</v>
      </c>
      <c r="D22" s="5"/>
      <c r="E22" s="6" t="s">
        <v>111</v>
      </c>
      <c r="F22" s="7"/>
      <c r="G22" s="6"/>
    </row>
    <row r="23" spans="1:7" s="8" customFormat="1">
      <c r="A23" s="72">
        <f>A20+0.01</f>
        <v>1.04</v>
      </c>
      <c r="B23" s="3" t="s">
        <v>114</v>
      </c>
      <c r="C23" s="3"/>
      <c r="D23" s="42"/>
      <c r="E23" s="6" t="s">
        <v>107</v>
      </c>
      <c r="F23" s="3"/>
      <c r="G23" s="3"/>
    </row>
    <row r="24" spans="1:7" s="8" customFormat="1">
      <c r="A24" s="73">
        <f t="shared" ref="A24:A36" si="0">A23+0.01</f>
        <v>1.05</v>
      </c>
      <c r="B24" s="3" t="s">
        <v>115</v>
      </c>
      <c r="C24" s="3"/>
      <c r="D24" s="42"/>
      <c r="E24" s="3" t="s">
        <v>116</v>
      </c>
      <c r="F24" s="3"/>
      <c r="G24" s="3"/>
    </row>
    <row r="25" spans="1:7" s="8" customFormat="1" ht="26.4">
      <c r="A25" s="73">
        <f t="shared" si="0"/>
        <v>1.06</v>
      </c>
      <c r="B25" s="3" t="s">
        <v>117</v>
      </c>
      <c r="C25" s="3"/>
      <c r="D25" s="42"/>
      <c r="E25" s="3" t="s">
        <v>116</v>
      </c>
      <c r="F25" s="3"/>
      <c r="G25" s="3"/>
    </row>
    <row r="26" spans="1:7" s="8" customFormat="1">
      <c r="A26" s="73">
        <f t="shared" si="0"/>
        <v>1.07</v>
      </c>
      <c r="B26" s="3" t="s">
        <v>118</v>
      </c>
      <c r="C26" s="3"/>
      <c r="D26" s="42"/>
      <c r="E26" s="3" t="s">
        <v>116</v>
      </c>
      <c r="F26" s="3"/>
      <c r="G26" s="3"/>
    </row>
    <row r="27" spans="1:7" s="8" customFormat="1" ht="26.4">
      <c r="A27" s="73">
        <f t="shared" si="0"/>
        <v>1.08</v>
      </c>
      <c r="B27" s="3" t="s">
        <v>27</v>
      </c>
      <c r="C27" s="3"/>
      <c r="D27" s="42"/>
      <c r="E27" s="3"/>
      <c r="F27" s="3"/>
      <c r="G27" s="3"/>
    </row>
    <row r="28" spans="1:7" s="8" customFormat="1">
      <c r="A28" s="73">
        <f t="shared" si="0"/>
        <v>1.0900000000000001</v>
      </c>
      <c r="B28" s="3" t="s">
        <v>119</v>
      </c>
      <c r="C28" s="71"/>
      <c r="D28" s="42"/>
      <c r="E28" s="3" t="s">
        <v>116</v>
      </c>
      <c r="F28" s="3"/>
      <c r="G28" s="3"/>
    </row>
    <row r="29" spans="1:7" s="8" customFormat="1" ht="25.5" customHeight="1">
      <c r="A29" s="72">
        <f t="shared" si="0"/>
        <v>1.1000000000000001</v>
      </c>
      <c r="B29" s="3" t="s">
        <v>29</v>
      </c>
      <c r="C29" s="3"/>
      <c r="D29" s="42"/>
      <c r="E29" s="3"/>
      <c r="F29" s="3"/>
      <c r="G29" s="3"/>
    </row>
    <row r="30" spans="1:7" s="8" customFormat="1">
      <c r="A30" s="73">
        <f t="shared" si="0"/>
        <v>1.1100000000000001</v>
      </c>
      <c r="B30" s="12" t="s">
        <v>31</v>
      </c>
      <c r="C30" s="3"/>
      <c r="D30" s="42"/>
      <c r="E30" s="3"/>
      <c r="F30" s="3"/>
      <c r="G30" s="3"/>
    </row>
    <row r="31" spans="1:7" s="8" customFormat="1">
      <c r="A31" s="73">
        <f t="shared" si="0"/>
        <v>1.1200000000000001</v>
      </c>
      <c r="B31" s="74" t="s">
        <v>120</v>
      </c>
      <c r="C31" s="3"/>
      <c r="D31" s="42"/>
      <c r="E31" s="3"/>
      <c r="F31" s="3"/>
      <c r="G31" s="3"/>
    </row>
    <row r="32" spans="1:7" s="8" customFormat="1">
      <c r="A32" s="73">
        <f t="shared" si="0"/>
        <v>1.1300000000000001</v>
      </c>
      <c r="B32" s="74" t="s">
        <v>34</v>
      </c>
      <c r="C32" s="3"/>
      <c r="D32" s="42"/>
      <c r="E32" s="3"/>
      <c r="F32" s="3"/>
      <c r="G32" s="3"/>
    </row>
    <row r="33" spans="1:7" s="8" customFormat="1">
      <c r="A33" s="73">
        <f t="shared" si="0"/>
        <v>1.1400000000000001</v>
      </c>
      <c r="B33" s="74" t="s">
        <v>35</v>
      </c>
      <c r="C33" s="3"/>
      <c r="D33" s="42"/>
      <c r="E33" s="3"/>
      <c r="F33" s="3"/>
      <c r="G33" s="3"/>
    </row>
    <row r="34" spans="1:7" s="8" customFormat="1">
      <c r="A34" s="73">
        <f t="shared" si="0"/>
        <v>1.1500000000000001</v>
      </c>
      <c r="B34" s="3" t="s">
        <v>121</v>
      </c>
      <c r="C34" s="3"/>
      <c r="D34" s="42"/>
      <c r="E34" s="3" t="s">
        <v>116</v>
      </c>
      <c r="F34" s="3"/>
      <c r="G34" s="3"/>
    </row>
    <row r="35" spans="1:7" s="8" customFormat="1">
      <c r="A35" s="73">
        <f t="shared" si="0"/>
        <v>1.1600000000000001</v>
      </c>
      <c r="B35" s="3" t="s">
        <v>37</v>
      </c>
      <c r="C35" s="3"/>
      <c r="D35" s="42"/>
      <c r="E35" s="3"/>
      <c r="F35" s="3"/>
      <c r="G35" s="3"/>
    </row>
    <row r="36" spans="1:7" s="8" customFormat="1">
      <c r="A36" s="73">
        <f t="shared" si="0"/>
        <v>1.1700000000000002</v>
      </c>
      <c r="B36" s="74" t="s">
        <v>122</v>
      </c>
      <c r="C36" s="3"/>
      <c r="D36" s="42"/>
      <c r="E36" s="3" t="s">
        <v>116</v>
      </c>
      <c r="F36" s="3"/>
      <c r="G36" s="3"/>
    </row>
    <row r="37" spans="1:7" s="8" customFormat="1">
      <c r="A37" s="57"/>
      <c r="B37" s="50"/>
      <c r="C37" s="50"/>
      <c r="D37" s="50"/>
      <c r="E37" s="50"/>
      <c r="F37" s="50"/>
      <c r="G37" s="50"/>
    </row>
    <row r="38" spans="1:7" ht="14.4">
      <c r="A38" s="55">
        <f>A17+1</f>
        <v>2</v>
      </c>
      <c r="B38" s="45" t="s">
        <v>123</v>
      </c>
      <c r="C38" s="45"/>
      <c r="D38" s="45"/>
      <c r="E38" s="45"/>
      <c r="F38" s="45"/>
      <c r="G38" s="45"/>
    </row>
    <row r="39" spans="1:7" outlineLevel="1">
      <c r="A39" s="57">
        <f t="shared" ref="A39:A47" si="1">A38+0.01</f>
        <v>2.0099999999999998</v>
      </c>
      <c r="B39" s="3" t="s">
        <v>124</v>
      </c>
      <c r="C39" s="3"/>
      <c r="D39" s="42"/>
      <c r="E39" s="3" t="s">
        <v>125</v>
      </c>
      <c r="F39" s="3"/>
      <c r="G39" s="3"/>
    </row>
    <row r="40" spans="1:7" outlineLevel="1">
      <c r="A40" s="57">
        <f t="shared" si="1"/>
        <v>2.0199999999999996</v>
      </c>
      <c r="B40" s="3" t="s">
        <v>126</v>
      </c>
      <c r="D40" s="42"/>
      <c r="E40" s="3" t="s">
        <v>125</v>
      </c>
      <c r="F40" s="3"/>
      <c r="G40" s="3"/>
    </row>
    <row r="41" spans="1:7" outlineLevel="1">
      <c r="A41" s="57">
        <f t="shared" si="1"/>
        <v>2.0299999999999994</v>
      </c>
      <c r="B41" s="3" t="s">
        <v>127</v>
      </c>
      <c r="C41" s="3"/>
      <c r="D41" s="42"/>
      <c r="E41" s="3" t="s">
        <v>125</v>
      </c>
      <c r="F41" s="3"/>
      <c r="G41" s="3"/>
    </row>
    <row r="42" spans="1:7" outlineLevel="1">
      <c r="A42" s="57">
        <f t="shared" si="1"/>
        <v>2.0399999999999991</v>
      </c>
      <c r="B42" s="3" t="s">
        <v>128</v>
      </c>
      <c r="C42" s="71"/>
      <c r="D42" s="42"/>
      <c r="E42" s="3" t="s">
        <v>125</v>
      </c>
      <c r="F42" s="3"/>
      <c r="G42" s="3"/>
    </row>
    <row r="43" spans="1:7" outlineLevel="1">
      <c r="A43" s="57">
        <f t="shared" si="1"/>
        <v>2.0499999999999989</v>
      </c>
      <c r="B43" s="3" t="s">
        <v>129</v>
      </c>
      <c r="C43" s="3"/>
      <c r="D43" s="42"/>
      <c r="E43" s="3" t="s">
        <v>125</v>
      </c>
      <c r="F43" s="3"/>
      <c r="G43" s="3"/>
    </row>
    <row r="44" spans="1:7" outlineLevel="1">
      <c r="A44" s="57">
        <f t="shared" si="1"/>
        <v>2.0599999999999987</v>
      </c>
      <c r="B44" s="3" t="s">
        <v>130</v>
      </c>
      <c r="C44" s="3"/>
      <c r="D44" s="42"/>
      <c r="E44" s="3" t="s">
        <v>125</v>
      </c>
      <c r="F44" s="3"/>
      <c r="G44" s="3"/>
    </row>
    <row r="45" spans="1:7" ht="26.4" outlineLevel="1">
      <c r="A45" s="57">
        <f t="shared" si="1"/>
        <v>2.0699999999999985</v>
      </c>
      <c r="B45" s="3" t="s">
        <v>131</v>
      </c>
      <c r="C45" s="3"/>
      <c r="D45" s="42"/>
      <c r="E45" s="3" t="s">
        <v>125</v>
      </c>
      <c r="F45" s="3"/>
      <c r="G45" s="3"/>
    </row>
    <row r="46" spans="1:7" ht="26.4" outlineLevel="1">
      <c r="A46" s="57">
        <f t="shared" si="1"/>
        <v>2.0799999999999983</v>
      </c>
      <c r="B46" s="3" t="s">
        <v>132</v>
      </c>
      <c r="C46" s="3"/>
      <c r="D46" s="42"/>
      <c r="E46" s="3" t="s">
        <v>125</v>
      </c>
      <c r="F46" s="3"/>
      <c r="G46" s="3"/>
    </row>
    <row r="47" spans="1:7" outlineLevel="1">
      <c r="A47" s="57">
        <f t="shared" si="1"/>
        <v>2.0899999999999981</v>
      </c>
      <c r="B47" s="3" t="s">
        <v>133</v>
      </c>
      <c r="C47" s="3"/>
      <c r="D47" s="42"/>
      <c r="E47" s="3" t="s">
        <v>125</v>
      </c>
      <c r="F47" s="3"/>
      <c r="G47" s="3"/>
    </row>
    <row r="48" spans="1:7">
      <c r="A48" s="58"/>
      <c r="B48" s="51"/>
      <c r="C48" s="51"/>
      <c r="D48" s="51"/>
      <c r="E48" s="51"/>
      <c r="F48" s="51"/>
      <c r="G48" s="51"/>
    </row>
    <row r="49" spans="1:7" ht="14.4">
      <c r="A49" s="55">
        <f>A38+1</f>
        <v>3</v>
      </c>
      <c r="B49" s="45" t="s">
        <v>134</v>
      </c>
      <c r="C49" s="45"/>
      <c r="D49" s="45"/>
      <c r="E49" s="45"/>
      <c r="F49" s="45"/>
      <c r="G49" s="45"/>
    </row>
    <row r="50" spans="1:7" s="8" customFormat="1" outlineLevel="1">
      <c r="A50" s="73">
        <f>A49+0.01</f>
        <v>3.01</v>
      </c>
      <c r="B50" s="74" t="s">
        <v>135</v>
      </c>
      <c r="C50" s="3"/>
      <c r="D50" s="42"/>
      <c r="E50" s="3" t="s">
        <v>116</v>
      </c>
      <c r="F50" s="3"/>
      <c r="G50" s="3"/>
    </row>
    <row r="51" spans="1:7" s="8" customFormat="1" outlineLevel="1">
      <c r="A51" s="73">
        <f>A50+0.01</f>
        <v>3.0199999999999996</v>
      </c>
      <c r="B51" s="3" t="s">
        <v>19</v>
      </c>
      <c r="C51" s="3"/>
      <c r="D51" s="42"/>
      <c r="E51" s="3"/>
      <c r="F51" s="3"/>
      <c r="G51" s="3"/>
    </row>
    <row r="52" spans="1:7" s="8" customFormat="1" outlineLevel="1">
      <c r="A52" s="73">
        <f t="shared" ref="A52:A60" si="2">A51+0.01</f>
        <v>3.0299999999999994</v>
      </c>
      <c r="B52" s="3" t="s">
        <v>21</v>
      </c>
      <c r="C52" s="3"/>
      <c r="D52" s="42"/>
      <c r="E52" s="3"/>
      <c r="F52" s="3"/>
      <c r="G52" s="3"/>
    </row>
    <row r="53" spans="1:7" s="8" customFormat="1" outlineLevel="1">
      <c r="A53" s="73">
        <f t="shared" si="2"/>
        <v>3.0399999999999991</v>
      </c>
      <c r="B53" s="74" t="s">
        <v>136</v>
      </c>
      <c r="C53" s="3"/>
      <c r="D53" s="42"/>
      <c r="E53" s="3" t="s">
        <v>116</v>
      </c>
      <c r="F53" s="3"/>
      <c r="G53" s="3"/>
    </row>
    <row r="54" spans="1:7" s="8" customFormat="1" outlineLevel="1">
      <c r="A54" s="73">
        <f t="shared" si="2"/>
        <v>3.0499999999999989</v>
      </c>
      <c r="B54" s="74" t="s">
        <v>137</v>
      </c>
      <c r="C54" s="3"/>
      <c r="D54" s="42"/>
      <c r="E54" s="3" t="s">
        <v>116</v>
      </c>
      <c r="F54" s="3"/>
      <c r="G54" s="3"/>
    </row>
    <row r="55" spans="1:7" s="8" customFormat="1" outlineLevel="1">
      <c r="A55" s="73">
        <f t="shared" si="2"/>
        <v>3.0599999999999987</v>
      </c>
      <c r="B55" s="3" t="s">
        <v>138</v>
      </c>
      <c r="C55" s="3"/>
      <c r="D55" s="42"/>
      <c r="E55" s="3" t="s">
        <v>116</v>
      </c>
      <c r="F55" s="3"/>
      <c r="G55" s="3"/>
    </row>
    <row r="56" spans="1:7" s="8" customFormat="1" outlineLevel="1">
      <c r="A56" s="73">
        <f t="shared" si="2"/>
        <v>3.0699999999999985</v>
      </c>
      <c r="B56" s="3" t="s">
        <v>139</v>
      </c>
      <c r="C56" s="3"/>
      <c r="D56" s="42"/>
      <c r="E56" s="3" t="s">
        <v>116</v>
      </c>
      <c r="F56" s="3"/>
      <c r="G56" s="3"/>
    </row>
    <row r="57" spans="1:7" s="8" customFormat="1" ht="26.4" outlineLevel="1">
      <c r="A57" s="73">
        <f t="shared" si="2"/>
        <v>3.0799999999999983</v>
      </c>
      <c r="B57" s="74" t="s">
        <v>25</v>
      </c>
      <c r="C57" s="3"/>
      <c r="D57" s="42"/>
      <c r="E57" s="3"/>
      <c r="F57" s="3"/>
      <c r="G57" s="3"/>
    </row>
    <row r="58" spans="1:7" s="8" customFormat="1" ht="26.4" outlineLevel="1">
      <c r="A58" s="73">
        <f t="shared" si="2"/>
        <v>3.0899999999999981</v>
      </c>
      <c r="B58" s="74" t="s">
        <v>49</v>
      </c>
      <c r="C58" s="3"/>
      <c r="D58" s="42"/>
      <c r="E58" s="3"/>
      <c r="F58" s="3"/>
      <c r="G58" s="3"/>
    </row>
    <row r="59" spans="1:7" s="8" customFormat="1" outlineLevel="1">
      <c r="A59" s="72">
        <f t="shared" si="2"/>
        <v>3.0999999999999979</v>
      </c>
      <c r="B59" s="3" t="s">
        <v>140</v>
      </c>
      <c r="C59" s="3"/>
      <c r="D59" s="42"/>
      <c r="E59" s="3"/>
      <c r="F59" s="3"/>
      <c r="G59" s="3"/>
    </row>
    <row r="60" spans="1:7" s="8" customFormat="1" ht="26.4" outlineLevel="1">
      <c r="A60" s="73">
        <f t="shared" si="2"/>
        <v>3.1099999999999977</v>
      </c>
      <c r="B60" s="74" t="s">
        <v>141</v>
      </c>
      <c r="C60" s="3"/>
      <c r="D60" s="42"/>
      <c r="E60" s="3" t="s">
        <v>116</v>
      </c>
      <c r="F60" s="3"/>
      <c r="G60" s="3"/>
    </row>
    <row r="61" spans="1:7" s="8" customFormat="1">
      <c r="A61" s="59"/>
      <c r="B61" s="52"/>
      <c r="C61" s="52"/>
      <c r="D61" s="52"/>
      <c r="E61" s="52"/>
      <c r="F61" s="52"/>
      <c r="G61" s="52"/>
    </row>
    <row r="62" spans="1:7" ht="14.4">
      <c r="A62" s="55">
        <f>A49+1</f>
        <v>4</v>
      </c>
      <c r="B62" s="45" t="s">
        <v>142</v>
      </c>
      <c r="C62" s="45"/>
      <c r="D62" s="45"/>
      <c r="E62" s="45"/>
      <c r="F62" s="45"/>
      <c r="G62" s="45"/>
    </row>
    <row r="63" spans="1:7" ht="14.4">
      <c r="A63" s="73">
        <f>A62+0.01</f>
        <v>4.01</v>
      </c>
      <c r="B63" s="4" t="s">
        <v>143</v>
      </c>
      <c r="C63" s="3"/>
      <c r="D63" s="3"/>
      <c r="E63" s="3" t="s">
        <v>116</v>
      </c>
      <c r="F63" s="3"/>
      <c r="G63" s="3"/>
    </row>
    <row r="64" spans="1:7">
      <c r="A64" s="73"/>
      <c r="B64" s="74" t="s">
        <v>144</v>
      </c>
      <c r="C64" s="49"/>
      <c r="D64" s="42"/>
      <c r="E64" s="3" t="s">
        <v>116</v>
      </c>
      <c r="F64" s="3"/>
      <c r="G64" s="3"/>
    </row>
    <row r="65" spans="1:7">
      <c r="A65" s="73"/>
      <c r="B65" s="74" t="s">
        <v>145</v>
      </c>
      <c r="C65" s="49"/>
      <c r="D65" s="42"/>
      <c r="E65" s="3" t="s">
        <v>116</v>
      </c>
      <c r="F65" s="3"/>
      <c r="G65" s="3"/>
    </row>
    <row r="66" spans="1:7" ht="14.4">
      <c r="A66" s="73">
        <f>A63+0.01</f>
        <v>4.0199999999999996</v>
      </c>
      <c r="B66" s="4" t="s">
        <v>146</v>
      </c>
      <c r="C66" s="3"/>
      <c r="D66" s="3"/>
      <c r="E66" s="3" t="s">
        <v>116</v>
      </c>
      <c r="F66" s="3"/>
      <c r="G66" s="3"/>
    </row>
    <row r="67" spans="1:7">
      <c r="A67" s="73"/>
      <c r="B67" s="74" t="s">
        <v>147</v>
      </c>
      <c r="C67" s="3"/>
      <c r="D67" s="42"/>
      <c r="E67" s="3" t="s">
        <v>116</v>
      </c>
      <c r="F67" s="3"/>
      <c r="G67" s="3"/>
    </row>
    <row r="68" spans="1:7">
      <c r="A68" s="73"/>
      <c r="B68" s="74" t="s">
        <v>148</v>
      </c>
      <c r="C68" s="3"/>
      <c r="D68" s="42"/>
      <c r="E68" s="3" t="s">
        <v>116</v>
      </c>
      <c r="F68" s="3"/>
      <c r="G68" s="3"/>
    </row>
    <row r="69" spans="1:7">
      <c r="A69" s="73"/>
      <c r="B69" s="74" t="s">
        <v>149</v>
      </c>
      <c r="C69" s="3"/>
      <c r="D69" s="42"/>
      <c r="E69" s="3" t="s">
        <v>116</v>
      </c>
      <c r="F69" s="3"/>
      <c r="G69" s="3"/>
    </row>
    <row r="70" spans="1:7">
      <c r="A70" s="73">
        <f>A66+0.01</f>
        <v>4.0299999999999994</v>
      </c>
      <c r="B70" s="3" t="s">
        <v>150</v>
      </c>
      <c r="C70" s="3"/>
      <c r="D70" s="42"/>
      <c r="E70" s="3" t="s">
        <v>116</v>
      </c>
      <c r="F70" s="3"/>
      <c r="G70" s="3"/>
    </row>
    <row r="71" spans="1:7">
      <c r="A71" s="73">
        <f>A70+0.01</f>
        <v>4.0399999999999991</v>
      </c>
      <c r="B71" s="3" t="s">
        <v>151</v>
      </c>
      <c r="C71" s="3"/>
      <c r="D71" s="42"/>
      <c r="E71" s="3" t="s">
        <v>116</v>
      </c>
      <c r="F71" s="3"/>
      <c r="G71" s="3" t="s">
        <v>152</v>
      </c>
    </row>
    <row r="72" spans="1:7">
      <c r="A72" s="73">
        <f>A71+0.01</f>
        <v>4.0499999999999989</v>
      </c>
      <c r="B72" s="74" t="s">
        <v>153</v>
      </c>
      <c r="C72" s="3"/>
      <c r="D72" s="42"/>
      <c r="E72" s="3"/>
      <c r="F72" s="3"/>
      <c r="G72" s="3"/>
    </row>
    <row r="73" spans="1:7">
      <c r="A73" s="73">
        <f t="shared" ref="A73" si="3">A72+0.01</f>
        <v>4.0599999999999987</v>
      </c>
      <c r="B73" s="3" t="s">
        <v>41</v>
      </c>
      <c r="C73" s="3"/>
      <c r="D73" s="42"/>
      <c r="E73" s="3"/>
      <c r="F73" s="3"/>
      <c r="G73" s="3"/>
    </row>
    <row r="74" spans="1:7" ht="26.4">
      <c r="A74" s="73">
        <f>A73+0.01</f>
        <v>4.0699999999999985</v>
      </c>
      <c r="B74" s="74" t="s">
        <v>45</v>
      </c>
      <c r="C74" s="3"/>
      <c r="D74" s="42"/>
      <c r="E74" s="3"/>
      <c r="F74" s="3"/>
      <c r="G74" s="3"/>
    </row>
    <row r="75" spans="1:7" ht="26.4">
      <c r="A75" s="73">
        <f t="shared" ref="A75" si="4">A74+0.01</f>
        <v>4.0799999999999983</v>
      </c>
      <c r="B75" s="3" t="s">
        <v>47</v>
      </c>
      <c r="C75" s="3"/>
      <c r="D75" s="42"/>
      <c r="E75" s="3"/>
      <c r="F75" s="3"/>
      <c r="G75" s="3"/>
    </row>
    <row r="76" spans="1:7">
      <c r="A76" s="60"/>
      <c r="B76" s="53"/>
      <c r="C76" s="53"/>
      <c r="D76" s="53"/>
      <c r="E76" s="53"/>
      <c r="F76" s="53"/>
      <c r="G76" s="53"/>
    </row>
    <row r="77" spans="1:7" ht="14.4">
      <c r="A77" s="55">
        <f>A62+1</f>
        <v>5</v>
      </c>
      <c r="B77" s="45" t="s">
        <v>154</v>
      </c>
      <c r="C77" s="45"/>
      <c r="D77" s="45"/>
      <c r="E77" s="45"/>
      <c r="F77" s="45"/>
      <c r="G77" s="45"/>
    </row>
    <row r="78" spans="1:7" ht="39.6">
      <c r="A78" s="73">
        <f>A77+0.01</f>
        <v>5.01</v>
      </c>
      <c r="B78" s="3" t="s">
        <v>155</v>
      </c>
      <c r="C78" s="3"/>
      <c r="D78" s="42"/>
      <c r="E78" s="3" t="s">
        <v>116</v>
      </c>
      <c r="F78" s="3"/>
      <c r="G78" s="3"/>
    </row>
    <row r="79" spans="1:7">
      <c r="A79" s="60"/>
      <c r="B79" s="53"/>
      <c r="C79" s="53"/>
      <c r="D79" s="53"/>
      <c r="E79" s="53"/>
      <c r="F79" s="53"/>
      <c r="G79" s="53"/>
    </row>
    <row r="80" spans="1:7" ht="14.4">
      <c r="A80" s="55">
        <f>A77+1</f>
        <v>6</v>
      </c>
      <c r="B80" s="45" t="s">
        <v>156</v>
      </c>
      <c r="C80" s="45"/>
      <c r="D80" s="45"/>
      <c r="E80" s="45"/>
      <c r="F80" s="45"/>
      <c r="G80" s="45"/>
    </row>
    <row r="81" spans="1:9">
      <c r="A81" s="72">
        <f>A80+0.01</f>
        <v>6.01</v>
      </c>
      <c r="B81" s="3" t="s">
        <v>52</v>
      </c>
      <c r="C81" s="3"/>
      <c r="D81" s="42"/>
      <c r="E81" s="3"/>
      <c r="F81" s="3"/>
      <c r="G81" s="3"/>
    </row>
    <row r="82" spans="1:9">
      <c r="A82" s="72">
        <f t="shared" ref="A82:A84" si="5">A81+0.01</f>
        <v>6.02</v>
      </c>
      <c r="B82" s="3" t="s">
        <v>54</v>
      </c>
      <c r="C82" s="49"/>
      <c r="D82" s="42"/>
      <c r="E82" s="3"/>
      <c r="F82" s="3"/>
      <c r="G82" s="3"/>
    </row>
    <row r="83" spans="1:9">
      <c r="A83" s="72">
        <f t="shared" si="5"/>
        <v>6.0299999999999994</v>
      </c>
      <c r="B83" s="3" t="s">
        <v>56</v>
      </c>
      <c r="C83" s="3"/>
      <c r="D83" s="42"/>
      <c r="E83" s="3"/>
      <c r="F83" s="3"/>
      <c r="G83" s="3"/>
    </row>
    <row r="84" spans="1:9" ht="26.4">
      <c r="A84" s="72">
        <f t="shared" si="5"/>
        <v>6.0399999999999991</v>
      </c>
      <c r="B84" s="3" t="s">
        <v>157</v>
      </c>
      <c r="C84" s="3"/>
      <c r="D84" s="42"/>
      <c r="E84" s="3"/>
      <c r="F84" s="3"/>
      <c r="G84" s="3"/>
    </row>
    <row r="85" spans="1:9">
      <c r="A85" s="60"/>
      <c r="B85" s="53"/>
      <c r="C85" s="53"/>
      <c r="D85" s="53"/>
      <c r="E85" s="53"/>
      <c r="F85" s="53"/>
      <c r="G85" s="53"/>
    </row>
    <row r="86" spans="1:9" ht="14.4">
      <c r="A86" s="55">
        <f>A80+1</f>
        <v>7</v>
      </c>
      <c r="B86" s="45" t="s">
        <v>158</v>
      </c>
      <c r="C86" s="45"/>
      <c r="D86" s="45"/>
      <c r="E86" s="45"/>
      <c r="F86" s="45"/>
      <c r="G86" s="45"/>
    </row>
    <row r="87" spans="1:9">
      <c r="A87" s="72">
        <f>A86+0.01</f>
        <v>7.01</v>
      </c>
      <c r="B87" s="74" t="s">
        <v>23</v>
      </c>
      <c r="C87" s="3"/>
      <c r="D87" s="42"/>
      <c r="E87" s="3" t="s">
        <v>116</v>
      </c>
      <c r="F87" s="3"/>
      <c r="G87" s="3"/>
    </row>
    <row r="88" spans="1:9">
      <c r="A88" s="72">
        <f t="shared" ref="A88" si="6">A87+0.01</f>
        <v>7.02</v>
      </c>
      <c r="B88" s="3" t="s">
        <v>159</v>
      </c>
      <c r="C88" s="3"/>
      <c r="D88" s="42"/>
      <c r="E88" s="3" t="s">
        <v>116</v>
      </c>
      <c r="F88" s="3"/>
      <c r="G88" s="3"/>
    </row>
    <row r="89" spans="1:9" ht="39.6">
      <c r="A89" s="72">
        <f>A88+0.01</f>
        <v>7.0299999999999994</v>
      </c>
      <c r="B89" s="74" t="s">
        <v>160</v>
      </c>
      <c r="C89" s="3"/>
      <c r="D89" s="42"/>
      <c r="E89" s="3" t="s">
        <v>116</v>
      </c>
      <c r="F89" s="3"/>
      <c r="G89" s="3" t="s">
        <v>161</v>
      </c>
    </row>
    <row r="90" spans="1:9">
      <c r="A90" s="54"/>
      <c r="B90" s="54"/>
      <c r="C90" s="54"/>
      <c r="D90" s="54"/>
      <c r="E90" s="54"/>
      <c r="F90" s="54"/>
      <c r="G90" s="54"/>
    </row>
    <row r="91" spans="1:9" ht="14.4">
      <c r="A91" s="135" t="s">
        <v>162</v>
      </c>
      <c r="B91" s="136"/>
      <c r="C91" s="136"/>
      <c r="D91" s="136"/>
      <c r="E91" s="136"/>
      <c r="F91" s="136"/>
      <c r="G91" s="137"/>
    </row>
    <row r="92" spans="1:9" ht="22.5" customHeight="1">
      <c r="A92" s="138"/>
      <c r="B92" s="138"/>
      <c r="C92" s="138"/>
      <c r="D92" s="138"/>
      <c r="E92" s="138"/>
      <c r="F92" s="138"/>
      <c r="G92" s="138"/>
    </row>
    <row r="93" spans="1:9" ht="50.25" customHeight="1">
      <c r="A93" s="131" t="s">
        <v>163</v>
      </c>
      <c r="B93" s="132"/>
      <c r="C93" s="132"/>
      <c r="D93" s="132"/>
      <c r="E93" s="132"/>
      <c r="F93" s="132"/>
      <c r="G93" s="133"/>
      <c r="H93" s="9"/>
      <c r="I93" s="9"/>
    </row>
    <row r="94" spans="1:9">
      <c r="A94" s="16"/>
      <c r="B94" s="16"/>
      <c r="C94" s="10"/>
      <c r="D94" s="10"/>
      <c r="E94" s="10"/>
      <c r="F94" s="10"/>
      <c r="G94" s="10"/>
      <c r="H94" s="10"/>
      <c r="I94" s="10"/>
    </row>
    <row r="95" spans="1:9">
      <c r="B95" s="11"/>
    </row>
    <row r="1048576" spans="5:5">
      <c r="E1048576" s="2">
        <v>99</v>
      </c>
    </row>
  </sheetData>
  <mergeCells count="8">
    <mergeCell ref="F1:G1"/>
    <mergeCell ref="A20:A22"/>
    <mergeCell ref="B20:B22"/>
    <mergeCell ref="E2:F2"/>
    <mergeCell ref="A93:G93"/>
    <mergeCell ref="C2:D2"/>
    <mergeCell ref="A91:G91"/>
    <mergeCell ref="A92:G92"/>
  </mergeCells>
  <dataValidations count="8">
    <dataValidation type="list" allowBlank="1" showInputMessage="1" showErrorMessage="1" sqref="D84" xr:uid="{DA9A58E3-7D11-4591-BBA1-AC413AF66740}">
      <formula1>"Frauscher standard,Customer standard(Refer Remarks)"</formula1>
    </dataValidation>
    <dataValidation type="list" allowBlank="1" showInputMessage="1" showErrorMessage="1" sqref="C78 C74" xr:uid="{371453FB-39F0-4AE0-9055-E17CFF6DF70A}">
      <formula1>"Yes,No"</formula1>
    </dataValidation>
    <dataValidation type="list" allowBlank="1" showInputMessage="1" showErrorMessage="1" sqref="C81 C83:C84" xr:uid="{62A2F3F7-D8BA-4B5E-8D1E-09519771F3A7}">
      <formula1>"Frauscher Standard, Customer Specific(To be provided by Customer)"</formula1>
    </dataValidation>
    <dataValidation type="list" allowBlank="1" showInputMessage="1" showErrorMessage="1" sqref="C87" xr:uid="{600F9B7D-7E2B-4A8C-BFD8-58A2AD6F973F}">
      <formula1>"24V DC,230V AC"</formula1>
    </dataValidation>
    <dataValidation type="list" allowBlank="1" showInputMessage="1" showErrorMessage="1" sqref="C88:C89" xr:uid="{3B962293-E510-4DE2-84A3-DB6DBCF696AC}">
      <formula1>"Not Applicable,No,Yes (Refer Remarks)"</formula1>
    </dataValidation>
    <dataValidation type="list" allowBlank="1" showInputMessage="1" showErrorMessage="1" sqref="C82" xr:uid="{220D88EE-2820-4943-9FF5-A7BBD25DB657}">
      <formula1>"A2 SIZE,A3 SIZE"</formula1>
    </dataValidation>
    <dataValidation type="list" allowBlank="1" showInputMessage="1" showErrorMessage="1" sqref="C40" xr:uid="{C040CF26-E27E-43E1-8FBA-2842F7FF97AB}">
      <formula1>"ACB129,ACB130"</formula1>
    </dataValidation>
    <dataValidation type="list" allowBlank="1" showInputMessage="1" showErrorMessage="1" sqref="C41" xr:uid="{17D630C2-2455-4C52-9A46-4C5E5C40E541}">
      <formula1>"ABP2-6"</formula1>
    </dataValidation>
  </dataValidations>
  <pageMargins left="0.70866141732283472" right="0.70866141732283472" top="0.74803149606299213" bottom="0.74803149606299213" header="0.31496062992125984" footer="0.31496062992125984"/>
  <pageSetup paperSize="8" scale="89" fitToWidth="6" fitToHeight="6" orientation="landscape" r:id="rId1"/>
  <headerFooter>
    <oddFooter>&amp;L&amp;"Arial,Italic"&amp;K01+021an internal document of Frauscher India&amp;C&amp;K01+021FSTI/AD/QSF/PDQ-11&amp;R&amp;K01+021Page &amp;P of &amp;N</oddFooter>
  </headerFooter>
  <rowBreaks count="2" manualBreakCount="2">
    <brk id="61" max="7" man="1"/>
    <brk id="79" max="7" man="1"/>
  </rowBreaks>
  <ignoredErrors>
    <ignoredError sqref="A77" unlockedFormula="1"/>
    <ignoredError sqref="A7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showInputMessage="1" showErrorMessage="1" xr:uid="{1F3F37F2-33DB-45CB-B17D-603BC1B814B7}">
          <x14:formula1>
            <xm:f>'DD List'!$J$27:$J$29</xm:f>
          </x14:formula1>
          <xm:sqref>C75</xm:sqref>
        </x14:dataValidation>
        <x14:dataValidation type="list" allowBlank="1" showInputMessage="1" showErrorMessage="1" xr:uid="{6DC18DC5-1ED5-43E7-B17E-77C1284324EA}">
          <x14:formula1>
            <xm:f>'DD List'!$F$21:$F$25</xm:f>
          </x14:formula1>
          <xm:sqref>C50</xm:sqref>
        </x14:dataValidation>
        <x14:dataValidation type="list" allowBlank="1" showInputMessage="1" showErrorMessage="1" xr:uid="{E3EA1F02-8C03-46CF-B16F-3730D42D7FB8}">
          <x14:formula1>
            <xm:f>'DD List'!$B$3:$B$4</xm:f>
          </x14:formula1>
          <xm:sqref>C18 C20:C22</xm:sqref>
        </x14:dataValidation>
        <x14:dataValidation type="list" allowBlank="1" showInputMessage="1" showErrorMessage="1" xr:uid="{3732066A-7BC0-40E7-9F5A-52F5B0498169}">
          <x14:formula1>
            <xm:f>'DD List'!$B$21:$B$22</xm:f>
          </x14:formula1>
          <xm:sqref>C23 C36</xm:sqref>
        </x14:dataValidation>
        <x14:dataValidation type="list" allowBlank="1" showInputMessage="1" showErrorMessage="1" xr:uid="{3C3005C8-FED3-48FD-AB08-2DE6B5CBD8DC}">
          <x14:formula1>
            <xm:f>'DD List'!$B$24:$B$31</xm:f>
          </x14:formula1>
          <xm:sqref>C24</xm:sqref>
        </x14:dataValidation>
        <x14:dataValidation type="list" allowBlank="1" showInputMessage="1" showErrorMessage="1" xr:uid="{F8AC179B-E458-4165-93C3-DD0B242FAA69}">
          <x14:formula1>
            <xm:f>'DD List'!$B$33:$B$35</xm:f>
          </x14:formula1>
          <xm:sqref>C25:C27</xm:sqref>
        </x14:dataValidation>
        <x14:dataValidation type="list" allowBlank="1" showInputMessage="1" showErrorMessage="1" xr:uid="{C6CD5094-1940-457C-B894-68FC6072D278}">
          <x14:formula1>
            <xm:f>'DD List'!$B$37:$B$42</xm:f>
          </x14:formula1>
          <xm:sqref>C28 C42</xm:sqref>
        </x14:dataValidation>
        <x14:dataValidation type="list" allowBlank="1" showInputMessage="1" showErrorMessage="1" xr:uid="{38E1A1AB-845F-4235-824A-D9871CCD9C79}">
          <x14:formula1>
            <xm:f>'DD List'!$B$44:$B$54</xm:f>
          </x14:formula1>
          <xm:sqref>C29</xm:sqref>
        </x14:dataValidation>
        <x14:dataValidation type="list" allowBlank="1" showInputMessage="1" showErrorMessage="1" xr:uid="{30DCB6BB-9B42-42B8-8369-FEA38AA49CEC}">
          <x14:formula1>
            <xm:f>'DD List'!$B$56:$B$59</xm:f>
          </x14:formula1>
          <xm:sqref>C30:C31 C33</xm:sqref>
        </x14:dataValidation>
        <x14:dataValidation type="list" allowBlank="1" showInputMessage="1" showErrorMessage="1" xr:uid="{FABDED4E-B281-4B5C-808D-D125636A9F03}">
          <x14:formula1>
            <xm:f>'DD List'!$B$65:$B$68</xm:f>
          </x14:formula1>
          <xm:sqref>C34</xm:sqref>
        </x14:dataValidation>
        <x14:dataValidation type="list" allowBlank="1" showInputMessage="1" showErrorMessage="1" xr:uid="{A0D325F8-21DE-4D3B-8105-FEF3749B505C}">
          <x14:formula1>
            <xm:f>'DD List'!$B$70:$B$73</xm:f>
          </x14:formula1>
          <xm:sqref>C35</xm:sqref>
        </x14:dataValidation>
        <x14:dataValidation type="list" allowBlank="1" showInputMessage="1" showErrorMessage="1" xr:uid="{33916DBB-C187-4ADF-9013-D54992BBA40E}">
          <x14:formula1>
            <xm:f>'DD List'!$F$6:$F$9</xm:f>
          </x14:formula1>
          <xm:sqref>C39</xm:sqref>
        </x14:dataValidation>
        <x14:dataValidation type="list" allowBlank="1" showInputMessage="1" showErrorMessage="1" xr:uid="{8B3244B0-FCC7-463A-B611-969CFF8B4530}">
          <x14:formula1>
            <xm:f>'DD List'!$F$11:$F$13</xm:f>
          </x14:formula1>
          <xm:sqref>C43:C44 C46:C47</xm:sqref>
        </x14:dataValidation>
        <x14:dataValidation type="list" allowBlank="1" showInputMessage="1" showErrorMessage="1" xr:uid="{E0FE399D-5B2B-4FA3-9CFA-96CFEF34EBD1}">
          <x14:formula1>
            <xm:f>'DD List'!$F$15:$F$18</xm:f>
          </x14:formula1>
          <xm:sqref>C45</xm:sqref>
        </x14:dataValidation>
        <x14:dataValidation type="list" allowBlank="1" showInputMessage="1" showErrorMessage="1" xr:uid="{328A6B65-E399-45A7-AEE1-142C561A67BD}">
          <x14:formula1>
            <xm:f>'DD List'!$F$27:$F$28</xm:f>
          </x14:formula1>
          <xm:sqref>C51</xm:sqref>
        </x14:dataValidation>
        <x14:dataValidation type="list" allowBlank="1" showInputMessage="1" showErrorMessage="1" xr:uid="{2CF57697-A3B6-4CF2-B830-27F8886DF60C}">
          <x14:formula1>
            <xm:f>'DD List'!$F$30:$F$31</xm:f>
          </x14:formula1>
          <xm:sqref>C52</xm:sqref>
        </x14:dataValidation>
        <x14:dataValidation type="list" allowBlank="1" showInputMessage="1" showErrorMessage="1" xr:uid="{BF440DA0-400A-4922-8F6F-0A183D02AB4A}">
          <x14:formula1>
            <xm:f>'DD List'!$F$33:$F$34</xm:f>
          </x14:formula1>
          <xm:sqref>C53</xm:sqref>
        </x14:dataValidation>
        <x14:dataValidation type="list" allowBlank="1" showInputMessage="1" showErrorMessage="1" xr:uid="{2D61ED14-1E44-4054-B47F-D65A4AEF0C52}">
          <x14:formula1>
            <xm:f>'DD List'!$F$36:$F$38</xm:f>
          </x14:formula1>
          <xm:sqref>C54</xm:sqref>
        </x14:dataValidation>
        <x14:dataValidation type="list" allowBlank="1" showInputMessage="1" showErrorMessage="1" xr:uid="{0383ED81-FDB7-42AD-9294-B74E82C56628}">
          <x14:formula1>
            <xm:f>'DD List'!$F$40:$F$44</xm:f>
          </x14:formula1>
          <xm:sqref>C55</xm:sqref>
        </x14:dataValidation>
        <x14:dataValidation type="list" allowBlank="1" showInputMessage="1" showErrorMessage="1" xr:uid="{C134BC37-F69E-40C0-9CB4-BFECE903CC70}">
          <x14:formula1>
            <xm:f>'DD List'!$F$62:$F$65</xm:f>
          </x14:formula1>
          <xm:sqref>C56</xm:sqref>
        </x14:dataValidation>
        <x14:dataValidation type="list" allowBlank="1" showInputMessage="1" showErrorMessage="1" xr:uid="{E5FF5764-CE07-42E1-B162-5E67F58CFAEC}">
          <x14:formula1>
            <xm:f>'DD List'!$F$67:$F$69</xm:f>
          </x14:formula1>
          <xm:sqref>C57</xm:sqref>
        </x14:dataValidation>
        <x14:dataValidation type="list" allowBlank="1" showInputMessage="1" showErrorMessage="1" xr:uid="{A1804D88-F00F-4598-8517-4FC0F648401F}">
          <x14:formula1>
            <xm:f>'DD List'!$F$76:$F$79</xm:f>
          </x14:formula1>
          <xm:sqref>C58</xm:sqref>
        </x14:dataValidation>
        <x14:dataValidation type="list" allowBlank="1" showInputMessage="1" showErrorMessage="1" xr:uid="{1710F124-4568-45D4-A914-ECD38BF932FF}">
          <x14:formula1>
            <xm:f>'DD List'!$F$81:$F$83</xm:f>
          </x14:formula1>
          <xm:sqref>C59</xm:sqref>
        </x14:dataValidation>
        <x14:dataValidation type="list" allowBlank="1" showInputMessage="1" showErrorMessage="1" xr:uid="{AE0C4C3D-2E38-4015-84D9-8B3141470238}">
          <x14:formula1>
            <xm:f>'DD List'!$F$86:$F$90</xm:f>
          </x14:formula1>
          <xm:sqref>C60</xm:sqref>
        </x14:dataValidation>
        <x14:dataValidation type="list" allowBlank="1" showInputMessage="1" showErrorMessage="1" xr:uid="{497D3BD5-8371-489E-9AC6-56022FDE57EB}">
          <x14:formula1>
            <xm:f>'DD List'!$J$3:$J$5</xm:f>
          </x14:formula1>
          <xm:sqref>C66:C69</xm:sqref>
        </x14:dataValidation>
        <x14:dataValidation type="list" allowBlank="1" showInputMessage="1" showErrorMessage="1" xr:uid="{3E4A789F-7F89-4FE1-8848-679B5EA3E34A}">
          <x14:formula1>
            <xm:f>'DD List'!$J$9:$J$12</xm:f>
          </x14:formula1>
          <xm:sqref>C70</xm:sqref>
        </x14:dataValidation>
        <x14:dataValidation type="list" allowBlank="1" showInputMessage="1" showErrorMessage="1" xr:uid="{2A87C849-986B-4620-A1D9-6487FA3823C7}">
          <x14:formula1>
            <xm:f>'DD List'!$J$14:$J$15</xm:f>
          </x14:formula1>
          <xm:sqref>C71</xm:sqref>
        </x14:dataValidation>
        <x14:dataValidation type="list" allowBlank="1" showInputMessage="1" showErrorMessage="1" xr:uid="{B6D95230-2E29-4BB7-A0C7-53E933F2AFA4}">
          <x14:formula1>
            <xm:f>'DD List'!$J$17:$J$20</xm:f>
          </x14:formula1>
          <xm:sqref>C72</xm:sqref>
        </x14:dataValidation>
        <x14:dataValidation type="list" allowBlank="1" showInputMessage="1" showErrorMessage="1" xr:uid="{9B9B660C-B37D-49DA-841F-11E6996E9BD0}">
          <x14:formula1>
            <xm:f>'DD List'!$J$22:$J$25</xm:f>
          </x14:formula1>
          <xm:sqref>C73</xm:sqref>
        </x14:dataValidation>
        <x14:dataValidation type="list" allowBlank="1" showInputMessage="1" showErrorMessage="1" xr:uid="{7AA4D035-8031-4A97-AFA9-DEAE3F922E33}">
          <x14:formula1>
            <xm:f>'DD List'!$B$15:$B$17</xm:f>
          </x14:formula1>
          <xm:sqref>C14</xm:sqref>
        </x14:dataValidation>
        <x14:dataValidation type="list" allowBlank="1" showInputMessage="1" showErrorMessage="1" xr:uid="{A2D2E108-9735-4B46-8F1F-965621039E27}">
          <x14:formula1>
            <xm:f>'DD List'!$B$6:$B$13</xm:f>
          </x14:formula1>
          <xm:sqref>C12</xm:sqref>
        </x14:dataValidation>
        <x14:dataValidation type="list" allowBlank="1" showInputMessage="1" showErrorMessage="1" xr:uid="{C59BF05C-E800-4108-A3AA-EAE462884600}">
          <x14:formula1>
            <xm:f>'DD List'!$J$31:$J$34</xm:f>
          </x14:formula1>
          <xm:sqref>C64:C65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E420-8299-4D17-A9F4-BB325300C1F6}">
  <dimension ref="A1:C25"/>
  <sheetViews>
    <sheetView workbookViewId="0">
      <selection activeCell="G38" sqref="G38"/>
    </sheetView>
  </sheetViews>
  <sheetFormatPr defaultRowHeight="13.2"/>
  <cols>
    <col min="1" max="1" width="11.6640625" customWidth="1"/>
    <col min="2" max="2" width="21.44140625" customWidth="1"/>
    <col min="3" max="3" width="18.33203125" customWidth="1"/>
  </cols>
  <sheetData>
    <row r="1" spans="1:3" ht="31.5" customHeight="1">
      <c r="A1" s="61" t="s">
        <v>164</v>
      </c>
      <c r="B1" s="62"/>
      <c r="C1" s="62"/>
    </row>
    <row r="2" spans="1:3" ht="27" customHeight="1">
      <c r="A2" s="70" t="s">
        <v>165</v>
      </c>
      <c r="B2" s="70" t="s">
        <v>166</v>
      </c>
      <c r="C2" s="70" t="s">
        <v>167</v>
      </c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1047-B97C-4A47-909E-59F2E1E03F70}">
  <dimension ref="A1:C39"/>
  <sheetViews>
    <sheetView workbookViewId="0">
      <selection activeCell="D18" sqref="D18"/>
    </sheetView>
  </sheetViews>
  <sheetFormatPr defaultColWidth="9.109375" defaultRowHeight="13.2"/>
  <cols>
    <col min="1" max="1" width="9.109375" style="1"/>
    <col min="2" max="2" width="13.5546875" style="1" customWidth="1"/>
    <col min="3" max="3" width="46.6640625" style="1" customWidth="1"/>
    <col min="4" max="16384" width="9.109375" style="1"/>
  </cols>
  <sheetData>
    <row r="1" spans="1:3" ht="16.2">
      <c r="A1" s="139" t="s">
        <v>168</v>
      </c>
      <c r="B1" s="140"/>
      <c r="C1" s="141"/>
    </row>
    <row r="2" spans="1:3">
      <c r="A2" s="12">
        <v>1</v>
      </c>
      <c r="B2" s="12" t="s">
        <v>169</v>
      </c>
      <c r="C2" s="12" t="s">
        <v>170</v>
      </c>
    </row>
    <row r="3" spans="1:3">
      <c r="A3" s="12">
        <v>2</v>
      </c>
      <c r="B3" s="12" t="s">
        <v>171</v>
      </c>
      <c r="C3" s="12" t="s">
        <v>172</v>
      </c>
    </row>
    <row r="4" spans="1:3">
      <c r="A4" s="12">
        <v>3</v>
      </c>
      <c r="B4" s="12" t="s">
        <v>173</v>
      </c>
      <c r="C4" s="12" t="s">
        <v>174</v>
      </c>
    </row>
    <row r="5" spans="1:3">
      <c r="A5" s="12">
        <v>4</v>
      </c>
      <c r="B5" s="12" t="s">
        <v>175</v>
      </c>
      <c r="C5" s="12" t="s">
        <v>176</v>
      </c>
    </row>
    <row r="6" spans="1:3">
      <c r="A6" s="12">
        <v>5</v>
      </c>
      <c r="B6" s="12" t="s">
        <v>177</v>
      </c>
      <c r="C6" s="12" t="s">
        <v>178</v>
      </c>
    </row>
    <row r="7" spans="1:3">
      <c r="A7" s="12">
        <v>6</v>
      </c>
      <c r="B7" s="12" t="s">
        <v>179</v>
      </c>
      <c r="C7" s="12" t="s">
        <v>180</v>
      </c>
    </row>
    <row r="8" spans="1:3">
      <c r="A8" s="12">
        <v>7</v>
      </c>
      <c r="B8" s="12" t="s">
        <v>181</v>
      </c>
      <c r="C8" s="12" t="s">
        <v>182</v>
      </c>
    </row>
    <row r="9" spans="1:3">
      <c r="A9" s="12">
        <v>8</v>
      </c>
      <c r="B9" s="12" t="s">
        <v>183</v>
      </c>
      <c r="C9" s="12" t="s">
        <v>184</v>
      </c>
    </row>
    <row r="10" spans="1:3">
      <c r="A10" s="12">
        <v>9</v>
      </c>
      <c r="B10" s="12" t="s">
        <v>185</v>
      </c>
      <c r="C10" s="12" t="s">
        <v>186</v>
      </c>
    </row>
    <row r="11" spans="1:3">
      <c r="A11" s="12">
        <v>10</v>
      </c>
      <c r="B11" s="12" t="s">
        <v>187</v>
      </c>
      <c r="C11" s="12" t="s">
        <v>188</v>
      </c>
    </row>
    <row r="12" spans="1:3">
      <c r="A12" s="12">
        <v>11</v>
      </c>
      <c r="B12" s="12" t="s">
        <v>189</v>
      </c>
      <c r="C12" s="12" t="s">
        <v>190</v>
      </c>
    </row>
    <row r="13" spans="1:3">
      <c r="A13" s="12">
        <v>12</v>
      </c>
      <c r="B13" s="12" t="s">
        <v>191</v>
      </c>
      <c r="C13" s="12" t="s">
        <v>192</v>
      </c>
    </row>
    <row r="14" spans="1:3" ht="26.4">
      <c r="A14" s="12">
        <v>13</v>
      </c>
      <c r="B14" s="12" t="s">
        <v>193</v>
      </c>
      <c r="C14" s="12" t="s">
        <v>194</v>
      </c>
    </row>
    <row r="15" spans="1:3">
      <c r="A15" s="12">
        <v>14</v>
      </c>
      <c r="B15" s="12" t="s">
        <v>195</v>
      </c>
      <c r="C15" s="12" t="s">
        <v>196</v>
      </c>
    </row>
    <row r="16" spans="1:3">
      <c r="A16" s="12">
        <v>15</v>
      </c>
      <c r="B16" s="12" t="s">
        <v>197</v>
      </c>
      <c r="C16" s="12" t="s">
        <v>198</v>
      </c>
    </row>
    <row r="17" spans="1:3">
      <c r="A17" s="12">
        <v>16</v>
      </c>
      <c r="B17" s="12" t="s">
        <v>199</v>
      </c>
      <c r="C17" s="12" t="s">
        <v>200</v>
      </c>
    </row>
    <row r="18" spans="1:3">
      <c r="A18" s="12">
        <v>17</v>
      </c>
      <c r="B18" s="12" t="s">
        <v>201</v>
      </c>
      <c r="C18" s="12" t="s">
        <v>202</v>
      </c>
    </row>
    <row r="19" spans="1:3">
      <c r="A19" s="12">
        <v>18</v>
      </c>
      <c r="B19" s="12" t="s">
        <v>203</v>
      </c>
      <c r="C19" s="12" t="s">
        <v>204</v>
      </c>
    </row>
    <row r="20" spans="1:3">
      <c r="A20" s="12">
        <v>19</v>
      </c>
      <c r="B20" s="12" t="s">
        <v>205</v>
      </c>
      <c r="C20" s="12" t="s">
        <v>206</v>
      </c>
    </row>
    <row r="21" spans="1:3">
      <c r="A21" s="12">
        <v>20</v>
      </c>
      <c r="B21" s="12" t="s">
        <v>207</v>
      </c>
      <c r="C21" s="12" t="s">
        <v>208</v>
      </c>
    </row>
    <row r="22" spans="1:3">
      <c r="A22" s="12">
        <v>21</v>
      </c>
      <c r="B22" s="12" t="s">
        <v>209</v>
      </c>
      <c r="C22" s="12" t="s">
        <v>210</v>
      </c>
    </row>
    <row r="23" spans="1:3">
      <c r="A23" s="12">
        <v>22</v>
      </c>
      <c r="B23" s="12" t="s">
        <v>211</v>
      </c>
      <c r="C23" s="12" t="s">
        <v>212</v>
      </c>
    </row>
    <row r="24" spans="1:3">
      <c r="A24" s="12">
        <v>23</v>
      </c>
      <c r="B24" s="12" t="s">
        <v>213</v>
      </c>
      <c r="C24" s="12" t="s">
        <v>214</v>
      </c>
    </row>
    <row r="25" spans="1:3">
      <c r="A25" s="12">
        <v>24</v>
      </c>
      <c r="B25" s="12" t="s">
        <v>215</v>
      </c>
      <c r="C25" s="12" t="s">
        <v>216</v>
      </c>
    </row>
    <row r="26" spans="1:3">
      <c r="A26" s="12">
        <v>25</v>
      </c>
      <c r="B26" s="12" t="s">
        <v>217</v>
      </c>
      <c r="C26" s="12" t="s">
        <v>218</v>
      </c>
    </row>
    <row r="27" spans="1:3">
      <c r="A27" s="12">
        <v>26</v>
      </c>
      <c r="B27" s="12" t="s">
        <v>219</v>
      </c>
      <c r="C27" s="12" t="s">
        <v>220</v>
      </c>
    </row>
    <row r="28" spans="1:3">
      <c r="A28" s="12">
        <v>27</v>
      </c>
      <c r="B28" s="12" t="s">
        <v>221</v>
      </c>
      <c r="C28" s="12" t="s">
        <v>222</v>
      </c>
    </row>
    <row r="29" spans="1:3">
      <c r="A29" s="12">
        <v>28</v>
      </c>
      <c r="B29" s="12" t="s">
        <v>223</v>
      </c>
      <c r="C29" s="12" t="s">
        <v>224</v>
      </c>
    </row>
    <row r="30" spans="1:3">
      <c r="A30" s="12">
        <v>29</v>
      </c>
      <c r="B30" s="12" t="s">
        <v>225</v>
      </c>
      <c r="C30" s="12" t="s">
        <v>226</v>
      </c>
    </row>
    <row r="31" spans="1:3">
      <c r="A31" s="12">
        <v>30</v>
      </c>
      <c r="B31" s="12" t="s">
        <v>227</v>
      </c>
      <c r="C31" s="12" t="s">
        <v>228</v>
      </c>
    </row>
    <row r="32" spans="1:3">
      <c r="A32" s="12">
        <v>31</v>
      </c>
      <c r="B32" s="12" t="s">
        <v>229</v>
      </c>
      <c r="C32" s="12" t="s">
        <v>230</v>
      </c>
    </row>
    <row r="33" spans="1:3">
      <c r="A33" s="12">
        <v>32</v>
      </c>
      <c r="B33" s="12" t="s">
        <v>231</v>
      </c>
      <c r="C33" s="12" t="s">
        <v>232</v>
      </c>
    </row>
    <row r="34" spans="1:3">
      <c r="A34" s="12">
        <v>33</v>
      </c>
      <c r="B34" s="12" t="s">
        <v>233</v>
      </c>
      <c r="C34" s="12" t="s">
        <v>234</v>
      </c>
    </row>
    <row r="35" spans="1:3">
      <c r="A35" s="12">
        <v>34</v>
      </c>
      <c r="B35" s="12" t="s">
        <v>235</v>
      </c>
      <c r="C35" s="12" t="s">
        <v>236</v>
      </c>
    </row>
    <row r="36" spans="1:3">
      <c r="A36" s="12">
        <v>35</v>
      </c>
      <c r="B36" s="12" t="s">
        <v>237</v>
      </c>
      <c r="C36" s="12" t="s">
        <v>238</v>
      </c>
    </row>
    <row r="37" spans="1:3">
      <c r="A37" s="12">
        <v>36</v>
      </c>
      <c r="B37" s="12" t="s">
        <v>239</v>
      </c>
      <c r="C37" s="12" t="s">
        <v>240</v>
      </c>
    </row>
    <row r="38" spans="1:3">
      <c r="A38" s="12">
        <v>37</v>
      </c>
      <c r="B38" s="12" t="s">
        <v>241</v>
      </c>
      <c r="C38" s="12" t="s">
        <v>242</v>
      </c>
    </row>
    <row r="39" spans="1:3">
      <c r="A39" s="12">
        <v>38</v>
      </c>
      <c r="B39" s="12" t="s">
        <v>243</v>
      </c>
      <c r="C39" s="12" t="s">
        <v>244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D0C3-26A2-435A-8970-1D324BF1A9B3}">
  <dimension ref="A2:J90"/>
  <sheetViews>
    <sheetView topLeftCell="A41" zoomScale="85" zoomScaleNormal="85" workbookViewId="0">
      <selection activeCell="J72" sqref="J72"/>
    </sheetView>
  </sheetViews>
  <sheetFormatPr defaultColWidth="9.109375" defaultRowHeight="14.4"/>
  <cols>
    <col min="1" max="1" width="12.33203125" style="19" customWidth="1"/>
    <col min="2" max="2" width="101.5546875" style="19" bestFit="1" customWidth="1"/>
    <col min="3" max="4" width="9.109375" style="19"/>
    <col min="5" max="5" width="12.88671875" style="19" customWidth="1"/>
    <col min="6" max="6" width="44.5546875" style="19" customWidth="1"/>
    <col min="7" max="9" width="9.109375" style="19"/>
    <col min="10" max="10" width="48.33203125" style="19" bestFit="1" customWidth="1"/>
    <col min="11" max="16384" width="9.109375" style="19"/>
  </cols>
  <sheetData>
    <row r="2" spans="1:10" ht="16.2">
      <c r="A2" s="147" t="s">
        <v>245</v>
      </c>
      <c r="B2" s="147"/>
      <c r="E2" s="147" t="s">
        <v>246</v>
      </c>
      <c r="F2" s="147"/>
      <c r="I2" s="147" t="s">
        <v>247</v>
      </c>
      <c r="J2" s="147"/>
    </row>
    <row r="3" spans="1:10">
      <c r="A3" s="148">
        <v>1.01</v>
      </c>
      <c r="B3" s="19" t="s">
        <v>205</v>
      </c>
      <c r="E3" s="148">
        <v>3.01</v>
      </c>
      <c r="F3" s="19" t="s">
        <v>248</v>
      </c>
      <c r="I3" s="146" t="s">
        <v>249</v>
      </c>
      <c r="J3" s="24" t="s">
        <v>250</v>
      </c>
    </row>
    <row r="4" spans="1:10">
      <c r="A4" s="148"/>
      <c r="B4" s="19" t="s">
        <v>175</v>
      </c>
      <c r="E4" s="148"/>
      <c r="F4" s="19" t="s">
        <v>251</v>
      </c>
      <c r="I4" s="146"/>
      <c r="J4" s="24" t="s">
        <v>252</v>
      </c>
    </row>
    <row r="5" spans="1:10">
      <c r="A5" s="20"/>
      <c r="I5" s="146"/>
      <c r="J5" s="24" t="s">
        <v>253</v>
      </c>
    </row>
    <row r="6" spans="1:10">
      <c r="A6" s="144" t="s">
        <v>254</v>
      </c>
      <c r="B6" s="19" t="s">
        <v>255</v>
      </c>
      <c r="E6" s="144">
        <v>3.02</v>
      </c>
      <c r="F6" s="19" t="s">
        <v>256</v>
      </c>
      <c r="I6" s="146"/>
      <c r="J6" s="24" t="s">
        <v>257</v>
      </c>
    </row>
    <row r="7" spans="1:10">
      <c r="A7" s="144"/>
      <c r="B7" s="19" t="s">
        <v>258</v>
      </c>
      <c r="E7" s="144"/>
      <c r="F7" s="19" t="s">
        <v>259</v>
      </c>
    </row>
    <row r="8" spans="1:10">
      <c r="A8" s="144"/>
      <c r="B8" s="19" t="s">
        <v>260</v>
      </c>
      <c r="E8" s="144"/>
      <c r="F8" s="19" t="s">
        <v>261</v>
      </c>
    </row>
    <row r="9" spans="1:10">
      <c r="A9" s="144"/>
      <c r="B9" s="19" t="s">
        <v>262</v>
      </c>
      <c r="E9" s="144"/>
      <c r="F9" s="19" t="s">
        <v>263</v>
      </c>
      <c r="I9" s="144">
        <v>5.03</v>
      </c>
      <c r="J9" s="19" t="s">
        <v>264</v>
      </c>
    </row>
    <row r="10" spans="1:10">
      <c r="A10" s="144"/>
      <c r="B10" s="19" t="s">
        <v>265</v>
      </c>
      <c r="I10" s="144"/>
      <c r="J10" s="19" t="s">
        <v>266</v>
      </c>
    </row>
    <row r="11" spans="1:10">
      <c r="A11" s="144"/>
      <c r="B11" s="19" t="s">
        <v>267</v>
      </c>
      <c r="E11" s="146" t="s">
        <v>268</v>
      </c>
      <c r="F11" s="19" t="s">
        <v>269</v>
      </c>
      <c r="I11" s="144"/>
      <c r="J11" s="19" t="s">
        <v>270</v>
      </c>
    </row>
    <row r="12" spans="1:10">
      <c r="A12" s="144"/>
      <c r="B12" s="19" t="s">
        <v>271</v>
      </c>
      <c r="E12" s="144"/>
      <c r="F12" s="19" t="s">
        <v>272</v>
      </c>
      <c r="I12" s="144"/>
      <c r="J12" s="19" t="s">
        <v>36</v>
      </c>
    </row>
    <row r="13" spans="1:10">
      <c r="A13" s="144"/>
      <c r="B13" s="19" t="s">
        <v>273</v>
      </c>
      <c r="E13" s="144"/>
      <c r="F13" s="19" t="s">
        <v>251</v>
      </c>
    </row>
    <row r="14" spans="1:10">
      <c r="I14" s="144">
        <v>5.04</v>
      </c>
      <c r="J14" s="19" t="s">
        <v>274</v>
      </c>
    </row>
    <row r="15" spans="1:10">
      <c r="A15" s="144" t="s">
        <v>254</v>
      </c>
      <c r="B15" s="19" t="s">
        <v>275</v>
      </c>
      <c r="E15" s="144">
        <v>3.07</v>
      </c>
      <c r="F15" s="19" t="s">
        <v>227</v>
      </c>
      <c r="I15" s="144"/>
      <c r="J15" s="19" t="s">
        <v>36</v>
      </c>
    </row>
    <row r="16" spans="1:10">
      <c r="A16" s="144"/>
      <c r="B16" s="19" t="s">
        <v>276</v>
      </c>
      <c r="E16" s="144"/>
      <c r="F16" s="19" t="s">
        <v>277</v>
      </c>
    </row>
    <row r="17" spans="1:10">
      <c r="A17" s="144"/>
      <c r="B17" s="19" t="s">
        <v>278</v>
      </c>
      <c r="E17" s="144"/>
      <c r="F17" s="19" t="s">
        <v>279</v>
      </c>
      <c r="I17" s="144">
        <v>5.05</v>
      </c>
      <c r="J17" s="19" t="s">
        <v>280</v>
      </c>
    </row>
    <row r="18" spans="1:10">
      <c r="E18" s="144"/>
      <c r="F18" s="19" t="s">
        <v>36</v>
      </c>
      <c r="I18" s="144"/>
      <c r="J18" s="19" t="s">
        <v>281</v>
      </c>
    </row>
    <row r="19" spans="1:10">
      <c r="I19" s="144"/>
      <c r="J19" s="19" t="s">
        <v>282</v>
      </c>
    </row>
    <row r="20" spans="1:10" ht="16.2">
      <c r="A20" s="147" t="s">
        <v>283</v>
      </c>
      <c r="B20" s="147"/>
      <c r="E20" s="147" t="s">
        <v>284</v>
      </c>
      <c r="F20" s="147"/>
      <c r="I20" s="144"/>
      <c r="J20" s="19" t="s">
        <v>36</v>
      </c>
    </row>
    <row r="21" spans="1:10">
      <c r="A21" s="148" t="s">
        <v>285</v>
      </c>
      <c r="B21" s="19" t="s">
        <v>76</v>
      </c>
      <c r="E21" s="144">
        <v>4.01</v>
      </c>
      <c r="F21" s="19" t="s">
        <v>286</v>
      </c>
      <c r="I21" s="22"/>
    </row>
    <row r="22" spans="1:10">
      <c r="A22" s="148"/>
      <c r="B22" s="19" t="s">
        <v>26</v>
      </c>
      <c r="E22" s="144"/>
      <c r="F22" s="19" t="s">
        <v>287</v>
      </c>
      <c r="I22" s="144">
        <v>5.0599999999999996</v>
      </c>
      <c r="J22" s="19" t="s">
        <v>42</v>
      </c>
    </row>
    <row r="23" spans="1:10">
      <c r="E23" s="144"/>
      <c r="F23" s="19" t="s">
        <v>288</v>
      </c>
      <c r="I23" s="144"/>
      <c r="J23" s="19" t="s">
        <v>289</v>
      </c>
    </row>
    <row r="24" spans="1:10">
      <c r="A24" s="144">
        <v>2.02</v>
      </c>
      <c r="B24" s="19" t="s">
        <v>16</v>
      </c>
      <c r="E24" s="144"/>
      <c r="F24" s="19" t="s">
        <v>290</v>
      </c>
      <c r="I24" s="144"/>
      <c r="J24" s="19" t="s">
        <v>171</v>
      </c>
    </row>
    <row r="25" spans="1:10">
      <c r="A25" s="144"/>
      <c r="B25" s="19" t="s">
        <v>291</v>
      </c>
      <c r="E25" s="144"/>
      <c r="F25" s="19" t="s">
        <v>292</v>
      </c>
      <c r="I25" s="144"/>
      <c r="J25" s="19" t="s">
        <v>36</v>
      </c>
    </row>
    <row r="26" spans="1:10">
      <c r="A26" s="144"/>
      <c r="B26" s="19" t="s">
        <v>293</v>
      </c>
    </row>
    <row r="27" spans="1:10">
      <c r="A27" s="144"/>
      <c r="B27" s="19" t="s">
        <v>294</v>
      </c>
      <c r="E27" s="148">
        <v>4.0199999999999996</v>
      </c>
      <c r="F27" s="19" t="s">
        <v>295</v>
      </c>
      <c r="I27" s="143">
        <v>5.08</v>
      </c>
      <c r="J27" s="19" t="s">
        <v>269</v>
      </c>
    </row>
    <row r="28" spans="1:10">
      <c r="A28" s="144"/>
      <c r="B28" s="19" t="s">
        <v>296</v>
      </c>
      <c r="E28" s="148"/>
      <c r="F28" s="19" t="s">
        <v>20</v>
      </c>
      <c r="I28" s="149"/>
      <c r="J28" s="19" t="s">
        <v>272</v>
      </c>
    </row>
    <row r="29" spans="1:10">
      <c r="A29" s="144"/>
      <c r="B29" s="19" t="s">
        <v>297</v>
      </c>
      <c r="I29" s="149"/>
      <c r="J29" s="19" t="s">
        <v>251</v>
      </c>
    </row>
    <row r="30" spans="1:10">
      <c r="A30" s="144"/>
      <c r="B30" s="19" t="s">
        <v>298</v>
      </c>
      <c r="E30" s="148">
        <v>4.03</v>
      </c>
      <c r="F30" s="19" t="s">
        <v>22</v>
      </c>
    </row>
    <row r="31" spans="1:10">
      <c r="A31" s="144"/>
      <c r="B31" s="19" t="s">
        <v>299</v>
      </c>
      <c r="E31" s="148"/>
      <c r="F31" s="19" t="s">
        <v>300</v>
      </c>
      <c r="J31" s="24" t="s">
        <v>301</v>
      </c>
    </row>
    <row r="32" spans="1:10">
      <c r="J32" s="24" t="s">
        <v>302</v>
      </c>
    </row>
    <row r="33" spans="1:10">
      <c r="A33" s="142" t="s">
        <v>303</v>
      </c>
      <c r="B33" s="19" t="s">
        <v>304</v>
      </c>
      <c r="E33" s="148">
        <v>4.04</v>
      </c>
      <c r="F33" s="19" t="s">
        <v>76</v>
      </c>
      <c r="J33" s="24" t="s">
        <v>91</v>
      </c>
    </row>
    <row r="34" spans="1:10">
      <c r="A34" s="142"/>
      <c r="B34" s="19" t="s">
        <v>26</v>
      </c>
      <c r="E34" s="148"/>
      <c r="F34" s="19" t="s">
        <v>26</v>
      </c>
      <c r="J34" s="24"/>
    </row>
    <row r="35" spans="1:10">
      <c r="A35" s="142"/>
      <c r="B35" s="19" t="s">
        <v>251</v>
      </c>
      <c r="J35" s="19" t="s">
        <v>305</v>
      </c>
    </row>
    <row r="36" spans="1:10">
      <c r="E36" s="146">
        <v>4.05</v>
      </c>
      <c r="F36" s="19" t="s">
        <v>306</v>
      </c>
      <c r="J36" s="19" t="s">
        <v>307</v>
      </c>
    </row>
    <row r="37" spans="1:10">
      <c r="A37" s="144">
        <v>2.06</v>
      </c>
      <c r="B37" s="21">
        <v>0</v>
      </c>
      <c r="E37" s="144"/>
      <c r="F37" s="19" t="s">
        <v>308</v>
      </c>
    </row>
    <row r="38" spans="1:10">
      <c r="A38" s="144"/>
      <c r="B38" s="21">
        <v>0.05</v>
      </c>
      <c r="E38" s="144"/>
      <c r="F38" s="19" t="s">
        <v>251</v>
      </c>
    </row>
    <row r="39" spans="1:10">
      <c r="A39" s="144"/>
      <c r="B39" s="21">
        <v>0.1</v>
      </c>
    </row>
    <row r="40" spans="1:10">
      <c r="A40" s="144"/>
      <c r="B40" s="21">
        <v>0.15</v>
      </c>
      <c r="E40" s="144">
        <v>4.0599999999999996</v>
      </c>
      <c r="F40" s="19" t="s">
        <v>191</v>
      </c>
    </row>
    <row r="41" spans="1:10">
      <c r="A41" s="144"/>
      <c r="B41" s="21">
        <v>0.2</v>
      </c>
      <c r="E41" s="144"/>
      <c r="F41" s="19" t="s">
        <v>193</v>
      </c>
      <c r="J41" s="19" t="s">
        <v>309</v>
      </c>
    </row>
    <row r="42" spans="1:10">
      <c r="A42" s="144"/>
      <c r="B42" s="19" t="s">
        <v>251</v>
      </c>
      <c r="E42" s="144"/>
      <c r="F42" s="19" t="s">
        <v>195</v>
      </c>
      <c r="J42" s="19" t="s">
        <v>310</v>
      </c>
    </row>
    <row r="43" spans="1:10">
      <c r="E43" s="144"/>
      <c r="F43" s="19" t="s">
        <v>311</v>
      </c>
      <c r="J43" s="19" t="s">
        <v>295</v>
      </c>
    </row>
    <row r="44" spans="1:10">
      <c r="A44" s="145">
        <v>2.0699999999999998</v>
      </c>
      <c r="B44" s="21" t="s">
        <v>30</v>
      </c>
      <c r="E44" s="144"/>
      <c r="F44" s="19" t="s">
        <v>312</v>
      </c>
    </row>
    <row r="45" spans="1:10">
      <c r="A45" s="145"/>
      <c r="B45" s="21" t="s">
        <v>313</v>
      </c>
      <c r="J45" s="19" t="s">
        <v>65</v>
      </c>
    </row>
    <row r="46" spans="1:10">
      <c r="A46" s="145"/>
      <c r="B46" s="21" t="s">
        <v>314</v>
      </c>
      <c r="E46" s="144">
        <v>4.07</v>
      </c>
      <c r="F46" s="19" t="s">
        <v>315</v>
      </c>
      <c r="J46" s="19" t="s">
        <v>64</v>
      </c>
    </row>
    <row r="47" spans="1:10">
      <c r="A47" s="145"/>
      <c r="B47" s="21" t="s">
        <v>316</v>
      </c>
      <c r="E47" s="144"/>
      <c r="F47" s="19" t="s">
        <v>317</v>
      </c>
    </row>
    <row r="48" spans="1:10">
      <c r="A48" s="145"/>
      <c r="B48" s="21" t="s">
        <v>318</v>
      </c>
      <c r="E48" s="144"/>
      <c r="F48" s="19" t="s">
        <v>319</v>
      </c>
      <c r="J48" s="19" t="s">
        <v>320</v>
      </c>
    </row>
    <row r="49" spans="1:10">
      <c r="A49" s="145"/>
      <c r="B49" s="21" t="s">
        <v>321</v>
      </c>
      <c r="E49" s="144"/>
      <c r="F49" s="19" t="s">
        <v>322</v>
      </c>
      <c r="J49" s="82" t="s">
        <v>323</v>
      </c>
    </row>
    <row r="50" spans="1:10">
      <c r="A50" s="145"/>
      <c r="B50" s="21" t="s">
        <v>324</v>
      </c>
      <c r="E50" s="144"/>
      <c r="F50" s="19" t="s">
        <v>325</v>
      </c>
    </row>
    <row r="51" spans="1:10">
      <c r="A51" s="145"/>
      <c r="B51" s="21" t="s">
        <v>326</v>
      </c>
      <c r="E51" s="144"/>
      <c r="F51" s="19" t="s">
        <v>327</v>
      </c>
      <c r="J51" s="19" t="s">
        <v>72</v>
      </c>
    </row>
    <row r="52" spans="1:10">
      <c r="A52" s="145"/>
      <c r="B52" s="21" t="s">
        <v>328</v>
      </c>
      <c r="J52" s="19" t="s">
        <v>329</v>
      </c>
    </row>
    <row r="53" spans="1:10">
      <c r="A53" s="145"/>
      <c r="B53" s="21" t="s">
        <v>330</v>
      </c>
      <c r="E53" s="144">
        <v>4.08</v>
      </c>
      <c r="F53" s="19" t="s">
        <v>331</v>
      </c>
    </row>
    <row r="54" spans="1:10">
      <c r="A54" s="145"/>
      <c r="B54" s="21" t="s">
        <v>332</v>
      </c>
      <c r="E54" s="144"/>
      <c r="F54" s="19" t="s">
        <v>333</v>
      </c>
    </row>
    <row r="55" spans="1:10">
      <c r="E55" s="144"/>
      <c r="F55" s="19" t="s">
        <v>334</v>
      </c>
    </row>
    <row r="56" spans="1:10">
      <c r="A56" s="146" t="s">
        <v>335</v>
      </c>
      <c r="B56" s="19" t="s">
        <v>32</v>
      </c>
      <c r="E56" s="144"/>
      <c r="F56" s="19" t="s">
        <v>336</v>
      </c>
      <c r="J56" s="19" t="s">
        <v>392</v>
      </c>
    </row>
    <row r="57" spans="1:10">
      <c r="A57" s="146"/>
      <c r="B57" s="19" t="s">
        <v>337</v>
      </c>
      <c r="E57" s="144"/>
      <c r="F57" s="19" t="s">
        <v>338</v>
      </c>
      <c r="J57" s="19" t="s">
        <v>393</v>
      </c>
    </row>
    <row r="58" spans="1:10">
      <c r="A58" s="146"/>
      <c r="B58" s="19" t="s">
        <v>339</v>
      </c>
      <c r="E58" s="144"/>
      <c r="F58" s="19" t="s">
        <v>340</v>
      </c>
    </row>
    <row r="59" spans="1:10">
      <c r="A59" s="146"/>
      <c r="B59" s="19" t="s">
        <v>36</v>
      </c>
      <c r="E59" s="144"/>
      <c r="F59" s="19" t="s">
        <v>341</v>
      </c>
      <c r="J59" s="82" t="s">
        <v>394</v>
      </c>
    </row>
    <row r="60" spans="1:10">
      <c r="E60" s="144"/>
      <c r="F60" s="19" t="s">
        <v>342</v>
      </c>
      <c r="J60" s="19" t="s">
        <v>395</v>
      </c>
    </row>
    <row r="61" spans="1:10">
      <c r="A61" s="143">
        <v>2.1</v>
      </c>
      <c r="B61" s="19" t="s">
        <v>343</v>
      </c>
    </row>
    <row r="62" spans="1:10">
      <c r="A62" s="143"/>
      <c r="B62" s="19" t="s">
        <v>344</v>
      </c>
      <c r="E62" s="144">
        <v>4.09</v>
      </c>
      <c r="F62" s="19" t="s">
        <v>345</v>
      </c>
      <c r="J62" s="19" t="s">
        <v>396</v>
      </c>
    </row>
    <row r="63" spans="1:10">
      <c r="A63" s="143"/>
      <c r="B63" s="19" t="s">
        <v>36</v>
      </c>
      <c r="E63" s="144"/>
      <c r="F63" s="19" t="s">
        <v>346</v>
      </c>
    </row>
    <row r="64" spans="1:10">
      <c r="E64" s="144"/>
      <c r="F64" s="19" t="s">
        <v>347</v>
      </c>
      <c r="J64" s="19" t="s">
        <v>398</v>
      </c>
    </row>
    <row r="65" spans="1:10">
      <c r="A65" s="143">
        <v>2.13</v>
      </c>
      <c r="B65" s="19" t="s">
        <v>18</v>
      </c>
      <c r="E65" s="144"/>
      <c r="F65" s="19" t="s">
        <v>26</v>
      </c>
      <c r="J65" s="19" t="s">
        <v>399</v>
      </c>
    </row>
    <row r="66" spans="1:10">
      <c r="A66" s="143"/>
      <c r="B66" s="19" t="s">
        <v>348</v>
      </c>
      <c r="E66" s="22"/>
      <c r="J66" s="19" t="s">
        <v>400</v>
      </c>
    </row>
    <row r="67" spans="1:10">
      <c r="A67" s="143"/>
      <c r="B67" s="19" t="s">
        <v>349</v>
      </c>
      <c r="E67" s="143">
        <v>4.0999999999999996</v>
      </c>
      <c r="F67" s="19" t="s">
        <v>269</v>
      </c>
      <c r="J67" s="19" t="s">
        <v>401</v>
      </c>
    </row>
    <row r="68" spans="1:10">
      <c r="A68" s="143"/>
      <c r="B68" s="19" t="s">
        <v>350</v>
      </c>
      <c r="E68" s="149"/>
      <c r="F68" s="19" t="s">
        <v>272</v>
      </c>
    </row>
    <row r="69" spans="1:10">
      <c r="E69" s="149"/>
      <c r="F69" s="19" t="s">
        <v>251</v>
      </c>
    </row>
    <row r="70" spans="1:10">
      <c r="A70" s="143">
        <v>2.14</v>
      </c>
      <c r="B70" s="19" t="s">
        <v>351</v>
      </c>
    </row>
    <row r="71" spans="1:10">
      <c r="A71" s="143"/>
      <c r="B71" s="19" t="s">
        <v>211</v>
      </c>
      <c r="E71" s="143">
        <v>4.1100000000000003</v>
      </c>
      <c r="F71" s="19" t="s">
        <v>343</v>
      </c>
    </row>
    <row r="72" spans="1:10">
      <c r="A72" s="143"/>
      <c r="B72" s="19" t="s">
        <v>39</v>
      </c>
      <c r="E72" s="143"/>
      <c r="F72" s="19" t="s">
        <v>344</v>
      </c>
    </row>
    <row r="73" spans="1:10">
      <c r="A73" s="143"/>
      <c r="B73" s="19" t="s">
        <v>36</v>
      </c>
      <c r="E73" s="143"/>
      <c r="F73" s="19" t="s">
        <v>36</v>
      </c>
    </row>
    <row r="74" spans="1:10">
      <c r="E74" s="143"/>
      <c r="F74" s="19" t="s">
        <v>251</v>
      </c>
    </row>
    <row r="76" spans="1:10">
      <c r="E76" s="144">
        <v>4.13</v>
      </c>
      <c r="F76" s="19" t="s">
        <v>227</v>
      </c>
    </row>
    <row r="77" spans="1:10">
      <c r="E77" s="144"/>
      <c r="F77" s="19" t="s">
        <v>277</v>
      </c>
    </row>
    <row r="78" spans="1:10">
      <c r="E78" s="144"/>
      <c r="F78" s="19" t="s">
        <v>279</v>
      </c>
    </row>
    <row r="79" spans="1:10">
      <c r="E79" s="144"/>
      <c r="F79" s="19" t="s">
        <v>36</v>
      </c>
    </row>
    <row r="81" spans="5:6">
      <c r="E81" s="143">
        <v>4.1399999999999997</v>
      </c>
      <c r="F81" s="19" t="s">
        <v>352</v>
      </c>
    </row>
    <row r="82" spans="5:6">
      <c r="E82" s="143"/>
      <c r="F82" s="19" t="s">
        <v>53</v>
      </c>
    </row>
    <row r="83" spans="5:6">
      <c r="E83" s="143"/>
      <c r="F83" s="19" t="s">
        <v>36</v>
      </c>
    </row>
    <row r="84" spans="5:6">
      <c r="E84" s="23"/>
    </row>
    <row r="86" spans="5:6">
      <c r="E86" s="143">
        <v>4.1500000000000004</v>
      </c>
      <c r="F86" s="19" t="s">
        <v>353</v>
      </c>
    </row>
    <row r="87" spans="5:6">
      <c r="E87" s="143"/>
      <c r="F87" s="19" t="s">
        <v>354</v>
      </c>
    </row>
    <row r="88" spans="5:6">
      <c r="E88" s="143"/>
      <c r="F88" s="19" t="s">
        <v>251</v>
      </c>
    </row>
    <row r="89" spans="5:6">
      <c r="E89" s="143"/>
      <c r="F89" s="19" t="s">
        <v>36</v>
      </c>
    </row>
    <row r="90" spans="5:6">
      <c r="E90" s="143"/>
    </row>
  </sheetData>
  <mergeCells count="41">
    <mergeCell ref="I22:I25"/>
    <mergeCell ref="I27:I29"/>
    <mergeCell ref="I2:J2"/>
    <mergeCell ref="I3:I6"/>
    <mergeCell ref="I9:I12"/>
    <mergeCell ref="I14:I15"/>
    <mergeCell ref="I17:I20"/>
    <mergeCell ref="E76:E79"/>
    <mergeCell ref="E81:E83"/>
    <mergeCell ref="E86:E90"/>
    <mergeCell ref="E53:E60"/>
    <mergeCell ref="E62:E65"/>
    <mergeCell ref="E67:E69"/>
    <mergeCell ref="E71:E74"/>
    <mergeCell ref="E15:E18"/>
    <mergeCell ref="E20:F20"/>
    <mergeCell ref="E21:E25"/>
    <mergeCell ref="E27:E28"/>
    <mergeCell ref="E30:E31"/>
    <mergeCell ref="A70:A73"/>
    <mergeCell ref="E2:F2"/>
    <mergeCell ref="E6:E9"/>
    <mergeCell ref="E3:E4"/>
    <mergeCell ref="E11:E13"/>
    <mergeCell ref="A24:A31"/>
    <mergeCell ref="A3:A4"/>
    <mergeCell ref="A15:A17"/>
    <mergeCell ref="A6:A13"/>
    <mergeCell ref="A2:B2"/>
    <mergeCell ref="A20:B20"/>
    <mergeCell ref="A21:A22"/>
    <mergeCell ref="E33:E34"/>
    <mergeCell ref="E36:E38"/>
    <mergeCell ref="E40:E44"/>
    <mergeCell ref="E46:E51"/>
    <mergeCell ref="A33:A35"/>
    <mergeCell ref="A61:A63"/>
    <mergeCell ref="A65:A68"/>
    <mergeCell ref="A37:A42"/>
    <mergeCell ref="A44:A54"/>
    <mergeCell ref="A56:A59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F9AB-2395-452A-B171-CD4DC96BBD7F}">
  <dimension ref="A1:D18"/>
  <sheetViews>
    <sheetView topLeftCell="A6" workbookViewId="0">
      <selection activeCell="G38" sqref="G38"/>
    </sheetView>
  </sheetViews>
  <sheetFormatPr defaultRowHeight="13.2"/>
  <cols>
    <col min="1" max="1" width="8.6640625" bestFit="1" customWidth="1"/>
    <col min="2" max="2" width="24" bestFit="1" customWidth="1"/>
    <col min="3" max="3" width="52.6640625" bestFit="1" customWidth="1"/>
    <col min="4" max="4" width="10.88671875" bestFit="1" customWidth="1"/>
  </cols>
  <sheetData>
    <row r="1" spans="1:4" ht="16.2">
      <c r="A1" s="13" t="s">
        <v>355</v>
      </c>
      <c r="B1" s="14" t="s">
        <v>356</v>
      </c>
      <c r="C1" s="13" t="s">
        <v>357</v>
      </c>
      <c r="D1" s="14" t="s">
        <v>104</v>
      </c>
    </row>
    <row r="2" spans="1:4">
      <c r="A2" s="12" t="s">
        <v>358</v>
      </c>
      <c r="B2" s="12" t="s">
        <v>359</v>
      </c>
      <c r="C2" s="12" t="s">
        <v>360</v>
      </c>
      <c r="D2" s="15">
        <v>42717</v>
      </c>
    </row>
    <row r="3" spans="1:4">
      <c r="A3" s="12" t="s">
        <v>361</v>
      </c>
      <c r="B3" s="12" t="s">
        <v>362</v>
      </c>
      <c r="C3" s="12" t="s">
        <v>363</v>
      </c>
      <c r="D3" s="15">
        <v>42737</v>
      </c>
    </row>
    <row r="4" spans="1:4">
      <c r="A4" s="12" t="s">
        <v>364</v>
      </c>
      <c r="B4" s="12" t="s">
        <v>362</v>
      </c>
      <c r="C4" s="12" t="s">
        <v>365</v>
      </c>
      <c r="D4" s="15">
        <v>42804</v>
      </c>
    </row>
    <row r="5" spans="1:4">
      <c r="A5" s="12" t="s">
        <v>366</v>
      </c>
      <c r="B5" s="12" t="s">
        <v>362</v>
      </c>
      <c r="C5" s="12" t="s">
        <v>367</v>
      </c>
      <c r="D5" s="15"/>
    </row>
    <row r="6" spans="1:4">
      <c r="A6" s="12" t="s">
        <v>368</v>
      </c>
      <c r="B6" s="12" t="s">
        <v>369</v>
      </c>
      <c r="C6" s="12" t="s">
        <v>370</v>
      </c>
      <c r="D6" s="15">
        <v>42913</v>
      </c>
    </row>
    <row r="7" spans="1:4" ht="39.6">
      <c r="A7" s="12" t="s">
        <v>371</v>
      </c>
      <c r="B7" s="12" t="s">
        <v>372</v>
      </c>
      <c r="C7" s="12" t="s">
        <v>373</v>
      </c>
      <c r="D7" s="15">
        <v>43143</v>
      </c>
    </row>
    <row r="8" spans="1:4" ht="26.4">
      <c r="A8" s="12" t="s">
        <v>374</v>
      </c>
      <c r="B8" s="12" t="s">
        <v>372</v>
      </c>
      <c r="C8" s="12" t="s">
        <v>375</v>
      </c>
      <c r="D8" s="15">
        <v>43515</v>
      </c>
    </row>
    <row r="9" spans="1:4" ht="26.4">
      <c r="A9" s="12" t="s">
        <v>376</v>
      </c>
      <c r="B9" s="12" t="s">
        <v>362</v>
      </c>
      <c r="C9" s="12" t="s">
        <v>377</v>
      </c>
      <c r="D9" s="15">
        <v>43699</v>
      </c>
    </row>
    <row r="10" spans="1:4" ht="52.8">
      <c r="A10" s="12" t="s">
        <v>378</v>
      </c>
      <c r="B10" s="12" t="s">
        <v>362</v>
      </c>
      <c r="C10" s="12" t="s">
        <v>379</v>
      </c>
      <c r="D10" s="15">
        <v>43839</v>
      </c>
    </row>
    <row r="11" spans="1:4" ht="66">
      <c r="A11" s="12" t="s">
        <v>380</v>
      </c>
      <c r="B11" s="12" t="s">
        <v>381</v>
      </c>
      <c r="C11" s="12" t="s">
        <v>382</v>
      </c>
      <c r="D11" s="15">
        <v>44585</v>
      </c>
    </row>
    <row r="12" spans="1:4">
      <c r="A12" s="12" t="s">
        <v>383</v>
      </c>
      <c r="B12" s="12" t="s">
        <v>384</v>
      </c>
      <c r="C12" s="12" t="s">
        <v>385</v>
      </c>
      <c r="D12" s="15">
        <v>45552</v>
      </c>
    </row>
    <row r="13" spans="1:4">
      <c r="A13" s="12" t="s">
        <v>386</v>
      </c>
      <c r="B13" s="12" t="s">
        <v>387</v>
      </c>
      <c r="C13" s="12" t="s">
        <v>388</v>
      </c>
      <c r="D13" s="15">
        <v>45616</v>
      </c>
    </row>
    <row r="14" spans="1:4">
      <c r="A14" s="12" t="s">
        <v>389</v>
      </c>
      <c r="B14" s="12" t="s">
        <v>387</v>
      </c>
      <c r="C14" s="12" t="s">
        <v>390</v>
      </c>
      <c r="D14" s="15">
        <v>45803</v>
      </c>
    </row>
    <row r="15" spans="1:4">
      <c r="A15" s="12"/>
      <c r="B15" s="12"/>
      <c r="C15" s="12"/>
      <c r="D15" s="12"/>
    </row>
    <row r="16" spans="1:4">
      <c r="A16" s="12"/>
      <c r="B16" s="12"/>
      <c r="C16" s="12"/>
      <c r="D16" s="12"/>
    </row>
    <row r="17" spans="1:4">
      <c r="A17" s="12"/>
      <c r="B17" s="12"/>
      <c r="C17" s="12"/>
      <c r="D17" s="12"/>
    </row>
    <row r="18" spans="1:4">
      <c r="A18" s="12"/>
      <c r="B18" s="12"/>
      <c r="C18" s="12"/>
      <c r="D18" s="12"/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nternal project document" ma:contentTypeID="0x0101E001004CBB5352CE36B74399EEA10EA39A07C7" ma:contentTypeVersion="7" ma:contentTypeDescription="Frauscher internal project document" ma:contentTypeScope="" ma:versionID="30dfe78929a094378c333da4d40f3761">
  <xsd:schema xmlns:xsd="http://www.w3.org/2001/XMLSchema" xmlns:xs="http://www.w3.org/2001/XMLSchema" xmlns:p="http://schemas.microsoft.com/office/2006/metadata/properties" xmlns:ns2="871dfa34-b462-4ab5-870e-413a685da783" xmlns:ns3="4f209067-5553-493e-a1f2-83c75361b1e8" targetNamespace="http://schemas.microsoft.com/office/2006/metadata/properties" ma:root="true" ma:fieldsID="fbc23728e0791ab69f4086f229c5540a" ns2:_="" ns3:_="">
    <xsd:import namespace="871dfa34-b462-4ab5-870e-413a685da783"/>
    <xsd:import namespace="4f209067-5553-493e-a1f2-83c75361b1e8"/>
    <xsd:element name="properties">
      <xsd:complexType>
        <xsd:sequence>
          <xsd:element name="documentManagement">
            <xsd:complexType>
              <xsd:all>
                <xsd:element ref="ns2:FR_Commen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gc06573ca7c44871a3b01e9beb74df0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dfa34-b462-4ab5-870e-413a685da783" elementFormDefault="qualified">
    <xsd:import namespace="http://schemas.microsoft.com/office/2006/documentManagement/types"/>
    <xsd:import namespace="http://schemas.microsoft.com/office/infopath/2007/PartnerControls"/>
    <xsd:element name="FR_Comment" ma:index="8" nillable="true" ma:displayName="Comment" ma:internalName="FR_Comment">
      <xsd:simpleType>
        <xsd:restriction base="dms:Note">
          <xsd:maxLength value="255"/>
        </xsd:restriction>
      </xsd:simpleType>
    </xsd:element>
    <xsd:element name="gc06573ca7c44871a3b01e9beb74df01" ma:index="13" nillable="true" ma:taxonomy="true" ma:internalName="gc06573ca7c44871a3b01e9beb74df01" ma:taxonomyFieldName="FR_State" ma:displayName="State" ma:default="" ma:fieldId="{0c06573c-a7c4-4871-a3b0-1e9beb74df01}" ma:sspId="60b91ace-2269-4f60-a9d0-656be1676b7c" ma:termSetId="1356281a-cf57-4871-81b3-5c368d0efe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30d8334-b500-45f3-805d-6b1e8b983391}" ma:internalName="TaxCatchAll" ma:showField="CatchAllData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030d8334-b500-45f3-805d-6b1e8b983391}" ma:internalName="TaxCatchAllLabel" ma:readOnly="true" ma:showField="CatchAllDataLabel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9067-5553-493e-a1f2-83c75361b1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_Comment xmlns="871dfa34-b462-4ab5-870e-413a685da783" xsi:nil="true"/>
    <TaxCatchAll xmlns="871dfa34-b462-4ab5-870e-413a685da783" xsi:nil="true"/>
    <gc06573ca7c44871a3b01e9beb74df01 xmlns="871dfa34-b462-4ab5-870e-413a685da783">
      <Terms xmlns="http://schemas.microsoft.com/office/infopath/2007/PartnerControls"/>
    </gc06573ca7c44871a3b01e9beb74df01>
  </documentManagement>
</p:properties>
</file>

<file path=customXml/itemProps1.xml><?xml version="1.0" encoding="utf-8"?>
<ds:datastoreItem xmlns:ds="http://schemas.openxmlformats.org/officeDocument/2006/customXml" ds:itemID="{2460ACA8-86A0-4C09-B645-9D121D533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dfa34-b462-4ab5-870e-413a685da783"/>
    <ds:schemaRef ds:uri="4f209067-5553-493e-a1f2-83c75361b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D7A2A4-1860-429E-9FEC-A4E5853CAE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438316-4700-42F2-8400-63B1B5D7FC43}">
  <ds:schemaRefs>
    <ds:schemaRef ds:uri="http://schemas.microsoft.com/office/2006/metadata/properties"/>
    <ds:schemaRef ds:uri="http://schemas.microsoft.com/office/infopath/2007/PartnerControls"/>
    <ds:schemaRef ds:uri="871dfa34-b462-4ab5-870e-413a685da7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 Page</vt:lpstr>
      <vt:lpstr>PDQ</vt:lpstr>
      <vt:lpstr>CQ-IR</vt:lpstr>
      <vt:lpstr>Control table</vt:lpstr>
      <vt:lpstr>Data transmission Inputs</vt:lpstr>
      <vt:lpstr>Design Questionnaire</vt:lpstr>
      <vt:lpstr>Annexure 1</vt:lpstr>
      <vt:lpstr>Legend</vt:lpstr>
      <vt:lpstr>DD List</vt:lpstr>
      <vt:lpstr>Revision History</vt:lpstr>
      <vt:lpstr>'Design Questionnaire'!Print_Area</vt:lpstr>
      <vt:lpstr>'Design Questionnaire'!Print_Titles</vt:lpstr>
    </vt:vector>
  </TitlesOfParts>
  <Manager/>
  <Company>Frauscher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Poomani Natarajan</dc:creator>
  <cp:keywords/>
  <dc:description/>
  <cp:lastModifiedBy>Shreshth Mishra</cp:lastModifiedBy>
  <cp:revision/>
  <dcterms:created xsi:type="dcterms:W3CDTF">2024-09-14T01:17:48Z</dcterms:created>
  <dcterms:modified xsi:type="dcterms:W3CDTF">2026-06-02T05:34:32Z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0x0101E001004CBB5352CE36B74399EEA10EA39A07C7</vt:lpwstr>
  </property>
  <property fmtid="{D5CDD505-2E9C-101B-9397-08002B2CF9AE}" pid="3" name="FR_State">
    <vt:lpwstr/>
  </property>
</Properties>
</file>