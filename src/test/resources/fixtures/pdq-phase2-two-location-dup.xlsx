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rauschergroup-my.sharepoint.com/personal/suresh_are_frauscher_com/Documents/E Drive/SURESH ARE/2025/June/SA (Responsibility)/Innovation Tool requirement/"/>
    </mc:Choice>
  </mc:AlternateContent>
  <xr:revisionPtr revIDLastSave="460" documentId="8_{F609D225-7338-480F-ADE4-FE97B96D94E7}" xr6:coauthVersionLast="47" xr6:coauthVersionMax="47" xr10:uidLastSave="{C8880356-7E14-4A31-876B-387E2800C9D0}"/>
  <bookViews>
    <workbookView xWindow="-120" yWindow="-120" windowWidth="29040" windowHeight="17520" firstSheet="1" activeTab="9" xr2:uid="{4B79E0EE-87B1-4332-8F26-4C3E247A716D}"/>
  </bookViews>
  <sheets>
    <sheet name="Cover Page" sheetId="7" state="hidden" r:id="rId1"/>
    <sheet name="PDQ" sheetId="11" r:id="rId2"/>
    <sheet name="CQ-IR" sheetId="10" r:id="rId3"/>
    <sheet name="Control table" sheetId="9" r:id="rId4"/>
    <sheet name="Data transmission Inputs" sheetId="12" r:id="rId5"/>
    <sheet name="Design Questionnaire" sheetId="1" state="hidden" r:id="rId6"/>
    <sheet name="Annexure 1" sheetId="5" state="hidden" r:id="rId7"/>
    <sheet name="Legend" sheetId="2" state="hidden" r:id="rId8"/>
    <sheet name="DD List" sheetId="4" r:id="rId9"/>
    <sheet name="Revision History" sheetId="3" r:id="rId10"/>
  </sheets>
  <externalReferences>
    <externalReference r:id="rId11"/>
  </externalReferences>
  <definedNames>
    <definedName name="_xlnm._FilterDatabase" localSheetId="3" hidden="1">'Control table'!#REF!</definedName>
    <definedName name="DMM">'[1]DMM Action Plan tracker 2006'!$A$8:$K$65536</definedName>
    <definedName name="JL">#REF!</definedName>
    <definedName name="_xlnm.Print_Area" localSheetId="5">'Design Questionnaire'!$A$1:$H$93</definedName>
    <definedName name="_xlnm.Print_Titles" localSheetId="5">'Design Questionnaire'!$1:$16</definedName>
    <definedName name="Prob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9" i="1" s="1"/>
  <c r="A20" i="1" l="1"/>
  <c r="A23" i="1" s="1"/>
  <c r="A24" i="1" s="1"/>
  <c r="A25" i="1" s="1"/>
  <c r="A26" i="1" s="1"/>
  <c r="A27" i="1" s="1"/>
  <c r="A28" i="1" s="1"/>
  <c r="A29" i="1" s="1"/>
  <c r="A30" i="1" s="1"/>
  <c r="A31" i="1" s="1"/>
  <c r="A32" i="1" l="1"/>
  <c r="A33" i="1" s="1"/>
  <c r="A34" i="1" s="1"/>
  <c r="A35" i="1" s="1"/>
  <c r="A36" i="1" s="1"/>
  <c r="A38" i="1"/>
  <c r="A49" i="1" l="1"/>
  <c r="A39" i="1"/>
  <c r="A40" i="1" s="1"/>
  <c r="A41" i="1" s="1"/>
  <c r="A42" i="1" s="1"/>
  <c r="A43" i="1" s="1"/>
  <c r="A44" i="1" s="1"/>
  <c r="A45" i="1" s="1"/>
  <c r="A46" i="1" s="1"/>
  <c r="A47" i="1" s="1"/>
  <c r="A62" i="1" l="1"/>
  <c r="A50" i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3" i="1" l="1"/>
  <c r="A66" i="1" s="1"/>
  <c r="A70" i="1" s="1"/>
  <c r="A71" i="1" s="1"/>
  <c r="A72" i="1" s="1"/>
  <c r="A73" i="1" s="1"/>
  <c r="A74" i="1" s="1"/>
  <c r="A75" i="1" s="1"/>
  <c r="A77" i="1"/>
  <c r="A80" i="1" l="1"/>
  <c r="A78" i="1"/>
  <c r="A86" i="1" l="1"/>
  <c r="A81" i="1"/>
  <c r="A82" i="1" s="1"/>
  <c r="A83" i="1" s="1"/>
  <c r="A84" i="1" s="1"/>
  <c r="A87" i="1" l="1"/>
  <c r="A88" i="1" s="1"/>
  <c r="A89" i="1" s="1"/>
</calcChain>
</file>

<file path=xl/sharedStrings.xml><?xml version="1.0" encoding="utf-8"?>
<sst xmlns="http://schemas.openxmlformats.org/spreadsheetml/2006/main" count="847" uniqueCount="542">
  <si>
    <t>Design Questionnaire (DQ)</t>
  </si>
  <si>
    <t>FSTI/AD/QSF/PDQ</t>
  </si>
  <si>
    <t>Version 12</t>
  </si>
  <si>
    <t>Classification 2 - Internal</t>
  </si>
  <si>
    <t>Language: EN</t>
  </si>
  <si>
    <t>Project Code :</t>
  </si>
  <si>
    <t>Project Design Questionnaire - IN</t>
  </si>
  <si>
    <t>Created by :</t>
  </si>
  <si>
    <t>Rev :</t>
  </si>
  <si>
    <t xml:space="preserve">Date : </t>
  </si>
  <si>
    <t>Sl. No.</t>
  </si>
  <si>
    <t>IFC Design Questionnaire</t>
  </si>
  <si>
    <t>Response</t>
  </si>
  <si>
    <t>Remarks</t>
  </si>
  <si>
    <t>Architecture &amp; Interface</t>
  </si>
  <si>
    <t>System Architecture</t>
  </si>
  <si>
    <t>Station - Centralised</t>
  </si>
  <si>
    <t>Size of Cubicle</t>
  </si>
  <si>
    <t>35U -Full Cubicle with Glass Door</t>
  </si>
  <si>
    <t>Should the system use a serial interface, parallel interface?</t>
  </si>
  <si>
    <t>Parallel Interface</t>
  </si>
  <si>
    <t>If a parallel interface is used, should it be with or without a relay?</t>
  </si>
  <si>
    <t>With Relay</t>
  </si>
  <si>
    <t>What voltage is needed for the axle counter cubicle cooling fan?</t>
  </si>
  <si>
    <t>24V</t>
  </si>
  <si>
    <t>Existing FAdC Network: Is the FAdC system being installed as part of an existing FAdC network? If so, how should AEB and COM board IDs be planned to avoid duplication</t>
  </si>
  <si>
    <t>No</t>
  </si>
  <si>
    <t>Is there a need of LV from an adjacent location to the central location, and if so, should it be through the Data Transfer (DT) mode?</t>
  </si>
  <si>
    <t>Relay Placement</t>
  </si>
  <si>
    <t>What type of Q-series relays are needed?</t>
  </si>
  <si>
    <t>Can be updated in As-built</t>
  </si>
  <si>
    <t>Where should the Q-series relays be placed?</t>
  </si>
  <si>
    <t>Customer Relay Rack</t>
  </si>
  <si>
    <t>Where should the OEN relays be placed?</t>
  </si>
  <si>
    <t>Which type of timer relays to be considered?</t>
  </si>
  <si>
    <t>Where should the timer relays be placed?</t>
  </si>
  <si>
    <t>Not Applicable</t>
  </si>
  <si>
    <t>What is the name of the wheel sensor quad cable termination rack?</t>
  </si>
  <si>
    <t>Yes - Details Available in Remarks</t>
  </si>
  <si>
    <t>CTR</t>
  </si>
  <si>
    <t>Reset Arrangements</t>
  </si>
  <si>
    <t>Where should the reset box be placed?</t>
  </si>
  <si>
    <t>Reset Cubicle</t>
  </si>
  <si>
    <t>Individual track section indication plates is required.?</t>
  </si>
  <si>
    <t>Is track section duplication necessary for reset/indication purposes?</t>
  </si>
  <si>
    <t>Distance between Reset Cubicle to ACC.
(To determine the AC immunised relays where the distance &gt;100 Mtrs.)</t>
  </si>
  <si>
    <t>Track Synchronisation is required.?</t>
  </si>
  <si>
    <t>Is auto reset required from the conventional track? If so, please specify the type of axle counter (DC/AC/AFTC/ACS2000/Competitor) and provide any additional details.</t>
  </si>
  <si>
    <t>Communication</t>
  </si>
  <si>
    <t>What type of connection should be used for communication between stations/locations (optical fiber cable or copper)?</t>
  </si>
  <si>
    <t>Switch to be considered</t>
  </si>
  <si>
    <t xml:space="preserve">Interface Design template standards </t>
  </si>
  <si>
    <t>What is the required template standard for the drawings?</t>
  </si>
  <si>
    <t>Frauscher Standard</t>
  </si>
  <si>
    <t>Should the drawings be A2 or A3 size?</t>
  </si>
  <si>
    <t>A3 Size</t>
  </si>
  <si>
    <t>Is there a specific standard for numbering the sheets?</t>
  </si>
  <si>
    <t xml:space="preserve">Are there any specific formatting requirements for the index sheet? </t>
  </si>
  <si>
    <t>Configuration Questionnaire - IR</t>
  </si>
  <si>
    <t>To be filled by PjM</t>
  </si>
  <si>
    <t>Is the SIP or track layout approved?</t>
  </si>
  <si>
    <t xml:space="preserve">Approved </t>
  </si>
  <si>
    <t>Range of ID for AEB &amp; COM</t>
  </si>
  <si>
    <t>1 to 4095</t>
  </si>
  <si>
    <t>Behaviour after loss of communication (COMM_FAIL):</t>
  </si>
  <si>
    <t>Reset restriction at fault and/or power-up (BEHAV_GE):</t>
  </si>
  <si>
    <t>Clearing of track (CLR_TRACK):</t>
  </si>
  <si>
    <t>RESET_IN:</t>
  </si>
  <si>
    <t>RESET_OUT: (Track)</t>
  </si>
  <si>
    <t>2: Preperatory Reset</t>
  </si>
  <si>
    <t>RESET_OUT:(Loopline)</t>
  </si>
  <si>
    <t>RESET_OUT: (Point zone)</t>
  </si>
  <si>
    <t>1: Direct Reset</t>
  </si>
  <si>
    <t>Behaviour of the AEB toggle switches in relation to reset (BEHAV_RESET):</t>
  </si>
  <si>
    <t>7: Disable - For SAT</t>
  </si>
  <si>
    <t>type-specific protection code :</t>
  </si>
  <si>
    <t>0xb192f6cd</t>
  </si>
  <si>
    <t>Number of partial traversings to cause a permanent occupied indication (PARTIAL_COUNT):</t>
  </si>
  <si>
    <t>1: 1st partial traversing</t>
  </si>
  <si>
    <t>Configuration output (CLR_OCC):</t>
  </si>
  <si>
    <t>0: Failsafe clear indication</t>
  </si>
  <si>
    <t>3: Clearing of track or partial traversing error</t>
  </si>
  <si>
    <t>Behaviour input 1 (BEHAV_INPUT1):</t>
  </si>
  <si>
    <t>6: Reset</t>
  </si>
  <si>
    <t>Behaviour input 2 (BEHAV_INPUT2):</t>
  </si>
  <si>
    <t>Behaviour input 3 (BEHAV_INPUT3):</t>
  </si>
  <si>
    <t>Behaviour of IO EXB toggle switches in relation to reset (BEHAV_IOEXB):</t>
  </si>
  <si>
    <t>7: Disable</t>
  </si>
  <si>
    <t>Is the CHC functionality required?</t>
  </si>
  <si>
    <t>Yes</t>
  </si>
  <si>
    <t>Is the ECHC functionality required?</t>
  </si>
  <si>
    <t>Number of allowed system occupancies, which are suppressed per minute in case of active CHC (SYSTEM_COUNT):</t>
  </si>
  <si>
    <t xml:space="preserve">2: 2 system occupancies </t>
  </si>
  <si>
    <t>Is the supervisor functionality used?</t>
  </si>
  <si>
    <t>Reset type in case of clear supervisor
(RESET_TYPE):</t>
  </si>
  <si>
    <t>3: Preparatory restricted reset</t>
  </si>
  <si>
    <t>Number of permitted resets by a clear supervisor section or by auto resets  (SUPERVIS_COUNT)  :</t>
  </si>
  <si>
    <t xml:space="preserve">2: 2 resets </t>
  </si>
  <si>
    <t>Is the synchronisation functionality used? If yes, please provide details.</t>
  </si>
  <si>
    <t>Are data transmitted via IO EXB? If yes, please provide details.</t>
  </si>
  <si>
    <t>FDS is required? If yes please provide FDS allocation chart.</t>
  </si>
  <si>
    <t>Yes refer remarks for the FDS allocation details</t>
  </si>
  <si>
    <t>S.No</t>
  </si>
  <si>
    <t>Track Section Name</t>
  </si>
  <si>
    <t>Dp`s</t>
  </si>
  <si>
    <t>Reset Type</t>
  </si>
  <si>
    <t>Track Output</t>
  </si>
  <si>
    <t>Preparatory reset without LV</t>
  </si>
  <si>
    <t>PHYSICAL</t>
  </si>
  <si>
    <t>Project Design Questionnaire</t>
  </si>
  <si>
    <t>Project Code</t>
  </si>
  <si>
    <t>LOA Tender No</t>
  </si>
  <si>
    <t>Project</t>
  </si>
  <si>
    <t>Customer</t>
  </si>
  <si>
    <t>End User</t>
  </si>
  <si>
    <t>Project Description</t>
  </si>
  <si>
    <t>FR Scope of work</t>
  </si>
  <si>
    <t>Questionnaire</t>
  </si>
  <si>
    <t>Quantity (as applicable)</t>
  </si>
  <si>
    <t>Reference /Responded By</t>
  </si>
  <si>
    <t>Date</t>
  </si>
  <si>
    <t>Design inputs ACS2000 / FAdC-R2</t>
  </si>
  <si>
    <t>Name of the System</t>
  </si>
  <si>
    <t>Available in PLO</t>
  </si>
  <si>
    <t>What is the Detection Points (DP) quantity?</t>
  </si>
  <si>
    <t>What is the desired length for the wheel sensor cables (5m, 10m, or 15m)?</t>
  </si>
  <si>
    <t>5 Mtrs</t>
  </si>
  <si>
    <t>BoM</t>
  </si>
  <si>
    <t>10 Mtrs</t>
  </si>
  <si>
    <t>15 Mtrs</t>
  </si>
  <si>
    <t>Has the SIP and track layout been approved?</t>
  </si>
  <si>
    <t>What is the planned system architecture for the project ?</t>
  </si>
  <si>
    <t>With FCT we can get this details</t>
  </si>
  <si>
    <t>Is boundary segregation required for the decentralized architecture, and if so, where (central, hut, goomty)?</t>
  </si>
  <si>
    <t>Is track section duplication necessary for reset purposes?</t>
  </si>
  <si>
    <t>How many spare slots are required for AEB/IO-EXB?</t>
  </si>
  <si>
    <t>Where should the non-vital relays (OEN or other types) be placed?</t>
  </si>
  <si>
    <t>What is the desired type of axle counter cubicle?</t>
  </si>
  <si>
    <t>Is the Frauscher Diagnostic System (FDS) required for the project?</t>
  </si>
  <si>
    <t>Design inputs for ACS2000</t>
  </si>
  <si>
    <t>What is the desired type of IMC ?</t>
  </si>
  <si>
    <t xml:space="preserve">Can be removed </t>
  </si>
  <si>
    <t>What type of ACB is needed?</t>
  </si>
  <si>
    <t>What is the required backplane type for the system?</t>
  </si>
  <si>
    <t>How many spare slots are necessary for the system?</t>
  </si>
  <si>
    <t>Is a DIOB required? If so, please provide specific details ?</t>
  </si>
  <si>
    <t>Is a communication modem needed for this system?</t>
  </si>
  <si>
    <t>If a modem is required, what type of media should be used (copper or optical fiber cable)?</t>
  </si>
  <si>
    <t>In transmission mode, is it necessary for a relay to be picked up at both sides of the system?</t>
  </si>
  <si>
    <t>Is internal control of the counting head required?</t>
  </si>
  <si>
    <t>Design inputs for FAdC R2</t>
  </si>
  <si>
    <t>What level of redundancy is required for the FAdC system?</t>
  </si>
  <si>
    <t>Is CAN-BUS segregation required for the system?</t>
  </si>
  <si>
    <t>Should the CAN-BUS to be segregated for upline/downline, or main/redundant lines?</t>
  </si>
  <si>
    <t>What type of COM board is required for the system?</t>
  </si>
  <si>
    <t>Is a supervisor track section required for the FAdC system?</t>
  </si>
  <si>
    <t>Provide the Ethernet switch IP address, subnet mask, and gateways for COM and FDS?</t>
  </si>
  <si>
    <t>Is the IO-EXB board required to be used in data transmission mode? If so, in which mode (single, dual, or quad)?</t>
  </si>
  <si>
    <t>Reset</t>
  </si>
  <si>
    <t>Metro Projects</t>
  </si>
  <si>
    <t>Main Line</t>
  </si>
  <si>
    <t>Depot</t>
  </si>
  <si>
    <t>Wayside Projects</t>
  </si>
  <si>
    <t>Main Line - Plain Track Sections</t>
  </si>
  <si>
    <t>Loop Line - Plain Track Sections</t>
  </si>
  <si>
    <t>Point zones</t>
  </si>
  <si>
    <t>What is the desired reset type for the block section?</t>
  </si>
  <si>
    <t>Requirement of Supervisory Reset?</t>
  </si>
  <si>
    <t>To be discussed with BiD for Metros</t>
  </si>
  <si>
    <t>Reset input will be provided from?</t>
  </si>
  <si>
    <t>Trolley suppression</t>
  </si>
  <si>
    <t>Whether external De-act is required for end DP? 
If so please provide following details (Track section Name, relay contact numbers, relay position, cable type, etc…)</t>
  </si>
  <si>
    <t>Interface Design template standards (Applicable for Metros)</t>
  </si>
  <si>
    <t>Are there any specific formatting requirements for the index sheet? If so, please provide details.</t>
  </si>
  <si>
    <t>Power Supply</t>
  </si>
  <si>
    <t>If there are multiple axle counter cubicles, should separate power supplies be provided?</t>
  </si>
  <si>
    <t>For UP and DN lines (or main and redundant systems), should separate power supplies be provided?</t>
  </si>
  <si>
    <t>For single system - UP/DN
For Dual detection (100% redentant) - Main and Redundant</t>
  </si>
  <si>
    <t>Remarks:</t>
  </si>
  <si>
    <r>
      <t xml:space="preserve">Note: 
</t>
    </r>
    <r>
      <rPr>
        <sz val="10"/>
        <color theme="1" tint="0.14999847407452621"/>
        <rFont val="Amasis MT Pro"/>
        <family val="1"/>
      </rPr>
      <t xml:space="preserve">1) PDQ is Frauscher Internal Document. Shall not to be shared with customer.
2) PDQ shall be common document for all the Stations/Locations within the project; if requirement is same and all the station/loc name shall be mentioned in the PDQ
</t>
    </r>
  </si>
  <si>
    <t>Annexure-1 for more number of stations</t>
  </si>
  <si>
    <t>S No</t>
  </si>
  <si>
    <t>Station Name</t>
  </si>
  <si>
    <t>DP Quantity</t>
  </si>
  <si>
    <t>Legend</t>
  </si>
  <si>
    <t>AC</t>
  </si>
  <si>
    <t>Alternating Current</t>
  </si>
  <si>
    <t>ACC</t>
  </si>
  <si>
    <t>Axle Counter Cubicle</t>
  </si>
  <si>
    <t>ACPR</t>
  </si>
  <si>
    <t>Axle Counting Proving Relay</t>
  </si>
  <si>
    <t>ACS2000</t>
  </si>
  <si>
    <t>Axle Counter System 2000</t>
  </si>
  <si>
    <t>AEB</t>
  </si>
  <si>
    <t>Advanced Evaluation Board</t>
  </si>
  <si>
    <t>AFTC</t>
  </si>
  <si>
    <t>Audio Frequency Track Circuit</t>
  </si>
  <si>
    <t>BGT</t>
  </si>
  <si>
    <t>Board Rack</t>
  </si>
  <si>
    <t>BP-EXB</t>
  </si>
  <si>
    <t>Backplane for Extension Boards</t>
  </si>
  <si>
    <t>BP-PWR</t>
  </si>
  <si>
    <t>Backplane for Power Supply</t>
  </si>
  <si>
    <t>BRC</t>
  </si>
  <si>
    <t>Board Rack Configuration</t>
  </si>
  <si>
    <t>CAN</t>
  </si>
  <si>
    <t>Controller Area Network</t>
  </si>
  <si>
    <t>COM-AdC</t>
  </si>
  <si>
    <t>Communication Board for Advanced Counter</t>
  </si>
  <si>
    <t>COM-FSE</t>
  </si>
  <si>
    <t xml:space="preserve">Communication Board with Implemented Frauscher Safe Ethernet Protocol </t>
  </si>
  <si>
    <t>COM-FSFB</t>
  </si>
  <si>
    <t>Communication Board Fail Safe Field Bus</t>
  </si>
  <si>
    <t>CT rack</t>
  </si>
  <si>
    <t xml:space="preserve">Cable Termination Rack </t>
  </si>
  <si>
    <t>DC</t>
  </si>
  <si>
    <t>Direct Current</t>
  </si>
  <si>
    <t>DIOB</t>
  </si>
  <si>
    <t>Digital Input/Output Board</t>
  </si>
  <si>
    <t>DP</t>
  </si>
  <si>
    <t>Detection Point</t>
  </si>
  <si>
    <t>FAdC R2</t>
  </si>
  <si>
    <t>Frauscher Advanced Counter Release 2</t>
  </si>
  <si>
    <t>FAT</t>
  </si>
  <si>
    <t>Factory Acceptance Test</t>
  </si>
  <si>
    <t>FDS</t>
  </si>
  <si>
    <t>Frauscher Diagnostic System</t>
  </si>
  <si>
    <t>FTOT</t>
  </si>
  <si>
    <t>Fuse Terminal Output Terminal</t>
  </si>
  <si>
    <t>ID</t>
  </si>
  <si>
    <t>Identifier</t>
  </si>
  <si>
    <t>IMC</t>
  </si>
  <si>
    <t>Evaluation Board</t>
  </si>
  <si>
    <t>IO EXB</t>
  </si>
  <si>
    <t>Input Output Extension Board</t>
  </si>
  <si>
    <t>IPS</t>
  </si>
  <si>
    <t>Integrated Power Supply</t>
  </si>
  <si>
    <t>LOA</t>
  </si>
  <si>
    <t>Letter of Acceptance</t>
  </si>
  <si>
    <t>LVB</t>
  </si>
  <si>
    <t>Line Verification Box</t>
  </si>
  <si>
    <t>LVPR</t>
  </si>
  <si>
    <t>Line Verification Proving Relay</t>
  </si>
  <si>
    <t>OFC</t>
  </si>
  <si>
    <t>Optical Fiber Cable</t>
  </si>
  <si>
    <t>PSC</t>
  </si>
  <si>
    <t>Power Supply with Crowbar</t>
  </si>
  <si>
    <t>SAT</t>
  </si>
  <si>
    <t>Site Acceptance Test</t>
  </si>
  <si>
    <t>SER</t>
  </si>
  <si>
    <t>Signal Equipment Room</t>
  </si>
  <si>
    <t>SIP</t>
  </si>
  <si>
    <t>Signal Interlocking Plan</t>
  </si>
  <si>
    <t>TLJB</t>
  </si>
  <si>
    <t>Track Lead Junction Box</t>
  </si>
  <si>
    <t>TS</t>
  </si>
  <si>
    <t>Track Section</t>
  </si>
  <si>
    <t>UPS</t>
  </si>
  <si>
    <t>Uninterrupted Power Supply</t>
  </si>
  <si>
    <t>VDU</t>
  </si>
  <si>
    <t>Visual Display Unit</t>
  </si>
  <si>
    <t>Section 1</t>
  </si>
  <si>
    <t>Section 3</t>
  </si>
  <si>
    <t>Section 5</t>
  </si>
  <si>
    <t>IMC010</t>
  </si>
  <si>
    <t>5.01 &amp; 5.02</t>
  </si>
  <si>
    <t>Conditional/Restricted Hard Reset with LV</t>
  </si>
  <si>
    <t>Conditional/Restricted Preparatory reset without LV</t>
  </si>
  <si>
    <t>Conditional/Restricted Preparatory reset with LV</t>
  </si>
  <si>
    <t>Main table</t>
  </si>
  <si>
    <t>Provision of Multi Section Digital Axle Counter (MSDAC) system to be used for Yard application_LC GATE</t>
  </si>
  <si>
    <t>ACB119-Hard reset</t>
  </si>
  <si>
    <t>Others - Need written document from Customer</t>
  </si>
  <si>
    <t>Provision of Multi Section Digital Axle Counter (MSDAC) system to be used for Auto Block Section</t>
  </si>
  <si>
    <t>ACB130-Preparatory reset</t>
  </si>
  <si>
    <t>Provision of Multi Section Digital Axle Counter (MSDAC) system to be used for Absolute Block Section</t>
  </si>
  <si>
    <t>ACB129-Hard reset</t>
  </si>
  <si>
    <t>Provision of Multi Section Digital Axle Counter (MSDAC) system to be used for Centralised Yard</t>
  </si>
  <si>
    <t>No reset restriction in last axle counted in or Out</t>
  </si>
  <si>
    <t>VDU-EI Reset</t>
  </si>
  <si>
    <t>Provision of Multi Section Digital Axle Counter (MSDAC) system to be used for De-Centralised Yard</t>
  </si>
  <si>
    <t>Co-Operative Reset</t>
  </si>
  <si>
    <t>Provision of Multi Section Digital Axle Counter (MSDAC) system to be used for IBH</t>
  </si>
  <si>
    <t>3.05,3.06,
3.08 &amp; 3.09</t>
  </si>
  <si>
    <t>Required</t>
  </si>
  <si>
    <t>Local reset from Reset box without co-operation</t>
  </si>
  <si>
    <t>Provision of Multi Section Digital Axle Counter (MSDAC) system to be used for Metro Projects</t>
  </si>
  <si>
    <t xml:space="preserve">Not Required </t>
  </si>
  <si>
    <t>Provision of Multi Section Digital Axle Counter (MSDAC) system to be used for Ded`FC</t>
  </si>
  <si>
    <t>Restricted Preparatory Reset</t>
  </si>
  <si>
    <t>Design, Material Supply, Supervision of Installation &amp; Testing Commissioning</t>
  </si>
  <si>
    <t>Design &amp; Material Supply only</t>
  </si>
  <si>
    <t>COPPER</t>
  </si>
  <si>
    <t>Design Material Supply, Installation &amp; Testing Commissioning</t>
  </si>
  <si>
    <t>Main - OFC &amp; Redundant - Copper</t>
  </si>
  <si>
    <t>Reset Box</t>
  </si>
  <si>
    <t>Push Button</t>
  </si>
  <si>
    <t>VDU-EI</t>
  </si>
  <si>
    <t>Section 2</t>
  </si>
  <si>
    <t>Section 4</t>
  </si>
  <si>
    <t>2.01 &amp; 2.15</t>
  </si>
  <si>
    <t>Single Detection System</t>
  </si>
  <si>
    <t>Dual Detection System</t>
  </si>
  <si>
    <t>PSC Redundant</t>
  </si>
  <si>
    <t>Co-Operative Reset Panel</t>
  </si>
  <si>
    <t>COM Redundant</t>
  </si>
  <si>
    <t>Station - Decentralised</t>
  </si>
  <si>
    <t>PSC &amp; COM Redundant</t>
  </si>
  <si>
    <t>Auto Block</t>
  </si>
  <si>
    <t>Absolute Block</t>
  </si>
  <si>
    <t>Serial Interface</t>
  </si>
  <si>
    <t>IBH</t>
  </si>
  <si>
    <t>Metro</t>
  </si>
  <si>
    <t>Ded`FC</t>
  </si>
  <si>
    <t>LC Gate</t>
  </si>
  <si>
    <t>Hard Reset with LV</t>
  </si>
  <si>
    <t>Preparatory reset with LV</t>
  </si>
  <si>
    <t>2.03,2.04 &amp; 2.05</t>
  </si>
  <si>
    <t xml:space="preserve">Yes </t>
  </si>
  <si>
    <t>Physical</t>
  </si>
  <si>
    <t>UP/DN Line Segregation</t>
  </si>
  <si>
    <t>Virtual</t>
  </si>
  <si>
    <t>Main/Redundant Segregartion</t>
  </si>
  <si>
    <t>Parallel Interface with Relay</t>
  </si>
  <si>
    <t>Parallel Interface without Relay</t>
  </si>
  <si>
    <t>COM-MS</t>
  </si>
  <si>
    <t>COM-EUX</t>
  </si>
  <si>
    <t>QNN1 2x6F/2B 24V DC</t>
  </si>
  <si>
    <t>QNN1 2x4F/4B 24VDC</t>
  </si>
  <si>
    <t>BP-PWR0</t>
  </si>
  <si>
    <t>QN1 12F/4B 24VDC</t>
  </si>
  <si>
    <t>BP-PWR4</t>
  </si>
  <si>
    <t>QN1 8F/8B 24VDC</t>
  </si>
  <si>
    <t>BP-PWR8</t>
  </si>
  <si>
    <t>QNNA1 2x6F/2B 24V DC</t>
  </si>
  <si>
    <t>BP-PWR0 &amp; BP-PWR4</t>
  </si>
  <si>
    <t>QNNA1 2x4F/4B 24VDC</t>
  </si>
  <si>
    <t>BP-PWR4 &amp; BP-PWR8</t>
  </si>
  <si>
    <t>QNA1 12F/4B 24VDC</t>
  </si>
  <si>
    <t>BP-PWR0 &amp; BP-PWR8</t>
  </si>
  <si>
    <t>QNA1 8F/8B 24VDC</t>
  </si>
  <si>
    <t>7: Counting Head Control</t>
  </si>
  <si>
    <t>QNA1K 6F/6B 24VDC</t>
  </si>
  <si>
    <t>BP-EXB1</t>
  </si>
  <si>
    <t>QSPA1 8F/8B 24VDC</t>
  </si>
  <si>
    <t>BP-EXB2</t>
  </si>
  <si>
    <t>BP-EXB4</t>
  </si>
  <si>
    <t>2.08 &amp; 2.09, 2.12</t>
  </si>
  <si>
    <t>BP-EXB8</t>
  </si>
  <si>
    <t>Frauscher Relay Rack</t>
  </si>
  <si>
    <t>BP-EXB1 &amp; BP-EXB2</t>
  </si>
  <si>
    <t>Axle Counter Rack</t>
  </si>
  <si>
    <t>BP-EXB2 &amp; BP-EXB4</t>
  </si>
  <si>
    <t>BP-EXB1 &amp; BP-EXB4</t>
  </si>
  <si>
    <t>Customer Scope</t>
  </si>
  <si>
    <t>Frauscher Scope</t>
  </si>
  <si>
    <t>Yes - Dedicated</t>
  </si>
  <si>
    <t>Yes - Virtual</t>
  </si>
  <si>
    <t>Yes - Both</t>
  </si>
  <si>
    <t>35U -Full Cubicle with Metal Door</t>
  </si>
  <si>
    <t>20U -Half Cubicle with Glass Door</t>
  </si>
  <si>
    <t>15U -Small Cubicle with Glass Door</t>
  </si>
  <si>
    <t>Entrance Cabinet</t>
  </si>
  <si>
    <t>Customer Specific - Network plan</t>
  </si>
  <si>
    <t>Single Mode</t>
  </si>
  <si>
    <t>Quad Mode</t>
  </si>
  <si>
    <t>Version</t>
  </si>
  <si>
    <t>Prepared by</t>
  </si>
  <si>
    <t>Changes/Comments</t>
  </si>
  <si>
    <t>R01</t>
  </si>
  <si>
    <t>-</t>
  </si>
  <si>
    <t>Initial issue</t>
  </si>
  <si>
    <t>R02</t>
  </si>
  <si>
    <t>Saravanan</t>
  </si>
  <si>
    <t>Sl. No. 1.11 &amp; 3.9 included</t>
  </si>
  <si>
    <t>R03</t>
  </si>
  <si>
    <t>Sl. No. 1.13, 1.14  &amp; 2.x included</t>
  </si>
  <si>
    <t>R04</t>
  </si>
  <si>
    <t>1.15, 2.2, 2.16</t>
  </si>
  <si>
    <t>R05</t>
  </si>
  <si>
    <t>Mary Rani &amp; Saravanan</t>
  </si>
  <si>
    <t>ACS and FAdC combined. Few new items included</t>
  </si>
  <si>
    <t>R06</t>
  </si>
  <si>
    <t>Pool Pandi &amp; Saravanan</t>
  </si>
  <si>
    <t>1). Few new items &amp; FAdC Configuration part included
2). Schedule tab included. 
3). File name changed as PDQ</t>
  </si>
  <si>
    <t>R07</t>
  </si>
  <si>
    <t>Updated/Added: 3.09, 4.08, 5.07, 8.05, 10.05, 10.06
Deleted: 7.01, 9.09</t>
  </si>
  <si>
    <t>R08</t>
  </si>
  <si>
    <t>Updated/Added: 1.07, 2.08, 4.10, 5.08, 6.01, 9.01, 9.03
Deleted: 5.02, 5.12, 9.01</t>
  </si>
  <si>
    <t>R09</t>
  </si>
  <si>
    <t>Updated/Added: 1.16, 1.21, 2.14, 2.19, 2.22
Deleted: 4.04, 4.06
Order re-arranged for 2.12, 213, 9.06
FSTI Holidays updated in schedule for 2020</t>
  </si>
  <si>
    <t>R10</t>
  </si>
  <si>
    <t>Saravanan/Chandan</t>
  </si>
  <si>
    <t xml:space="preserve">Drop down list updated for possible Questionnaire
Legend &amp; DD sheet included
Schedule sheet updated with Y2022 holidays
Password protection included to protect required cells
Few Questionnaires are modified/added/deleted </t>
  </si>
  <si>
    <t>R11</t>
  </si>
  <si>
    <t>Chandan/Poomani N</t>
  </si>
  <si>
    <t>As per latest practise complete sheet revised</t>
  </si>
  <si>
    <t>R12</t>
  </si>
  <si>
    <t>Poomani N</t>
  </si>
  <si>
    <t>Project specific Revision added</t>
  </si>
  <si>
    <t>R13</t>
  </si>
  <si>
    <t>Revised as per the Latest Practice</t>
  </si>
  <si>
    <t>Configuration auxiliary output 1 and normal status auxiliary output 1 (AUX1_OUT):</t>
  </si>
  <si>
    <t>Configuration auxiliary output 2 and normal status auxiliary output 2 (AUX2_OUT):</t>
  </si>
  <si>
    <t>(AUX2_NO_NC) :</t>
  </si>
  <si>
    <t>(AUX1_NO_NC) :</t>
  </si>
  <si>
    <t>Behaviour of the AEB toggle switches in relation to Simulation (BEHAV_SIMUL):</t>
  </si>
  <si>
    <t>Wheel Sensor type (RSR_TYPE)</t>
  </si>
  <si>
    <t>FAdC - FAdC Auto reset</t>
  </si>
  <si>
    <t>Auto reset by timer circuit</t>
  </si>
  <si>
    <t>DP NAME</t>
  </si>
  <si>
    <t>POSITION</t>
  </si>
  <si>
    <t>E-CHC</t>
  </si>
  <si>
    <t>IN</t>
  </si>
  <si>
    <t>OUT</t>
  </si>
  <si>
    <t>1AXT1</t>
  </si>
  <si>
    <t>DP1A</t>
  </si>
  <si>
    <t>DP2A</t>
  </si>
  <si>
    <t>RESTRICTED RESET WITH LV</t>
  </si>
  <si>
    <t>ABOVE THE RAIL</t>
  </si>
  <si>
    <t>2AXT1</t>
  </si>
  <si>
    <t>DP3A</t>
  </si>
  <si>
    <t>RESTRICTED PREPARATORY RESET WITHOUT LV</t>
  </si>
  <si>
    <t>201AXT</t>
  </si>
  <si>
    <t>DP4,DP5</t>
  </si>
  <si>
    <t>RESTRICTED PREPARATORY RESET WITH LV</t>
  </si>
  <si>
    <t>NA</t>
  </si>
  <si>
    <t>SUP1-AXT1</t>
  </si>
  <si>
    <t>VIRTUAL</t>
  </si>
  <si>
    <t>DP4</t>
  </si>
  <si>
    <t>1AXT2</t>
  </si>
  <si>
    <t>DP1B</t>
  </si>
  <si>
    <t>DP2B</t>
  </si>
  <si>
    <t>DP5</t>
  </si>
  <si>
    <t>2AXT2</t>
  </si>
  <si>
    <t>DP3B</t>
  </si>
  <si>
    <t>BELOW THE RAIL</t>
  </si>
  <si>
    <t>SUP1-AXT2</t>
  </si>
  <si>
    <t>DATA SAFETY LEVEL</t>
  </si>
  <si>
    <t>OUTPUT DATA TRANSMISSION</t>
  </si>
  <si>
    <t>SAFETY_LEVEL_IN</t>
  </si>
  <si>
    <t>SAFETY_LEVEL_OUT</t>
  </si>
  <si>
    <t>SAFE_OUT_FDBCK_QUAD</t>
  </si>
  <si>
    <t>SOURCE DP NAME</t>
  </si>
  <si>
    <t>NMBR_OUT</t>
  </si>
  <si>
    <t>3: Preparatory Restricted reset</t>
  </si>
  <si>
    <t>Refer remarks</t>
  </si>
  <si>
    <t>The DP placement needs to be confirmed, whether it should follow the Frauscher standard or any specific standard.</t>
  </si>
  <si>
    <t xml:space="preserve">Frauscher Standard </t>
  </si>
  <si>
    <t>Frauscher Standarad</t>
  </si>
  <si>
    <t>*Note : This sheet will be fillied by AE team</t>
  </si>
  <si>
    <t>R14</t>
  </si>
  <si>
    <t>Suresh</t>
  </si>
  <si>
    <t>Updated 1.08 in PDQ
CQ-IR Revised 
DP &amp; TS sheet changed as Control table with format change.
Added Data Transmission input sheet.</t>
  </si>
  <si>
    <t>Single</t>
  </si>
  <si>
    <t>Dual</t>
  </si>
  <si>
    <t>AEB board version</t>
  </si>
  <si>
    <t>COM board Type</t>
  </si>
  <si>
    <t>GS01</t>
  </si>
  <si>
    <t>GS02</t>
  </si>
  <si>
    <t>GS03</t>
  </si>
  <si>
    <t>GS04</t>
  </si>
  <si>
    <t>GS05</t>
  </si>
  <si>
    <t>GS06</t>
  </si>
  <si>
    <t>GS07</t>
  </si>
  <si>
    <t>GS08</t>
  </si>
  <si>
    <t>GS09</t>
  </si>
  <si>
    <t>COM-EULYNX</t>
  </si>
  <si>
    <t>Configuration Word</t>
  </si>
  <si>
    <t>IDENTIFICATION</t>
  </si>
  <si>
    <t xml:space="preserve">340 &amp; 610 </t>
  </si>
  <si>
    <t>Remarks For More details</t>
  </si>
  <si>
    <t>Without Relay EI Type to be Provided in Remarks</t>
  </si>
  <si>
    <t>Remarks : Diff Combination</t>
  </si>
  <si>
    <t>0: Open in normal status</t>
  </si>
  <si>
    <t>1: Closed in normal status</t>
  </si>
  <si>
    <t>3: Preparatory Reset - for FAT</t>
  </si>
  <si>
    <t>7: Disable for SAT</t>
  </si>
  <si>
    <t>0: Simulation of an occupancy enable</t>
  </si>
  <si>
    <t>1: Simulation of an occupancy disable</t>
  </si>
  <si>
    <t>0: No evaluation of RSR</t>
  </si>
  <si>
    <t>1: RSR 180</t>
  </si>
  <si>
    <t>2: Not allowed</t>
  </si>
  <si>
    <t>3: RSR123</t>
  </si>
  <si>
    <t>5: Default</t>
  </si>
  <si>
    <t>Project Number</t>
  </si>
  <si>
    <t>Yes: Mention Project number in remarks</t>
  </si>
  <si>
    <t>Occupied status extension in ms (OCC_EXT):</t>
  </si>
  <si>
    <t>Occupied status delay in ms (OCC_DELAY):</t>
  </si>
  <si>
    <t>Reset operation time in ms (RESET_OP_TIME):</t>
  </si>
  <si>
    <t>Reset lead time in ms (RESET_LD_TIME):</t>
  </si>
  <si>
    <t>Transmission interval in ms</t>
  </si>
  <si>
    <t>Selection time out in ms(cfg_timeout):</t>
  </si>
  <si>
    <t>Stable time after IP Switching in Sec: time that passes before another switching takes place (IP_SWITCH_TIME):</t>
  </si>
  <si>
    <t>Reset delay supervisor in Sec
(RESET_DELAY):</t>
  </si>
  <si>
    <t>Anti-toggle time for reset restriction in ms (SWITCH_GE):</t>
  </si>
  <si>
    <t>Anti-toggle time for reset ability in ms (SWITCH_GSF):</t>
  </si>
  <si>
    <t>Pre-Reset active time in Sec (PRERESET_ACT_TIME):</t>
  </si>
  <si>
    <t>OCC_EXT</t>
  </si>
  <si>
    <t>OCC_DELAY</t>
  </si>
  <si>
    <t>COMM_FAIL</t>
  </si>
  <si>
    <t>BEHAV_GE</t>
  </si>
  <si>
    <t>CLR_TRACK</t>
  </si>
  <si>
    <t>RESET_IN</t>
  </si>
  <si>
    <t>BEHAV_RESET</t>
  </si>
  <si>
    <t>BEHAV_SIMUL</t>
  </si>
  <si>
    <t>PARTIAL_COUNT</t>
  </si>
  <si>
    <t>CLR_OCC</t>
  </si>
  <si>
    <t>AUX1_OUT</t>
  </si>
  <si>
    <t>AUX1_NO_NC</t>
  </si>
  <si>
    <t>AUX2_OUT</t>
  </si>
  <si>
    <t>AUX2_NO_NC</t>
  </si>
  <si>
    <t>BEHAV_INPUT1</t>
  </si>
  <si>
    <t>BEHAV_INPUT2</t>
  </si>
  <si>
    <t>RESET_OP_TIME</t>
  </si>
  <si>
    <t>RESET_LD_TIME</t>
  </si>
  <si>
    <t>BEHAV_IOEXB</t>
  </si>
  <si>
    <t>INTERVAL</t>
  </si>
  <si>
    <t>TIMEOUT_VALUE</t>
  </si>
  <si>
    <t>IP_SWITCH_TIME</t>
  </si>
  <si>
    <t>SYSTEM_COUNT</t>
  </si>
  <si>
    <t>RESET_TYPE</t>
  </si>
  <si>
    <t>RESET_DELAY</t>
  </si>
  <si>
    <t>SUPERVIS_COUNT</t>
  </si>
  <si>
    <t>SWITCH_GE</t>
  </si>
  <si>
    <t>SWITCH_GSF</t>
  </si>
  <si>
    <t>PRERESET_ACT_TIME</t>
  </si>
  <si>
    <t>RSR_TYPE</t>
  </si>
  <si>
    <t>PROJECT_NUMBER</t>
  </si>
  <si>
    <t>Logic type</t>
  </si>
  <si>
    <t>OR</t>
  </si>
  <si>
    <t>AND</t>
  </si>
  <si>
    <t>1AXT2,SUP1-AXT1</t>
  </si>
  <si>
    <t>2AXT2,SUP1-AXT1</t>
  </si>
  <si>
    <t>1AXT1,SUP1-AXT2</t>
  </si>
  <si>
    <t>2AXT1,SUP1-AXT2</t>
  </si>
  <si>
    <t>1AXT1,2AXT1</t>
  </si>
  <si>
    <t>1AXT2,2AXT2</t>
  </si>
  <si>
    <t>R14.1</t>
  </si>
  <si>
    <t>PDQ points updated as per comments from Shreshth
CQ-IR also additional coloum is added 
Contral table also updated as per the requirement from shreshth</t>
  </si>
  <si>
    <t>LOCATION - STN1</t>
  </si>
  <si>
    <t>LOCATION - STN2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</si>
</sst>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theme="1"/>
      <name val="Arial"/>
      <family val="2"/>
    </font>
    <font>
      <sz val="10"/>
      <color theme="1"/>
      <name val="Amasis MT Pro"/>
      <family val="1"/>
    </font>
    <font>
      <sz val="11"/>
      <color rgb="FF000000"/>
      <name val="Calibri"/>
      <family val="2"/>
      <scheme val="minor"/>
    </font>
    <font>
      <b/>
      <sz val="12"/>
      <color theme="1"/>
      <name val="Amasis MT Pro"/>
      <family val="1"/>
    </font>
    <font>
      <sz val="11"/>
      <color theme="1"/>
      <name val="Amasis MT Pro"/>
      <family val="1"/>
    </font>
    <font>
      <sz val="10"/>
      <color theme="1" tint="0.14999847407452621"/>
      <name val="Amasis MT Pro"/>
      <family val="1"/>
    </font>
    <font>
      <b/>
      <sz val="12"/>
      <color theme="1" tint="0.14999847407452621"/>
      <name val="Amasis MT Pro"/>
      <family val="1"/>
    </font>
    <font>
      <b/>
      <sz val="11"/>
      <color theme="1" tint="0.14999847407452621"/>
      <name val="Amasis MT Pro"/>
      <family val="1"/>
    </font>
    <font>
      <sz val="8"/>
      <name val="Arial"/>
      <family val="2"/>
    </font>
    <font>
      <b/>
      <sz val="16"/>
      <color theme="1" tint="0.14999847407452621"/>
      <name val="Amasis MT Pro"/>
      <family val="1"/>
    </font>
    <font>
      <sz val="12"/>
      <color theme="1" tint="0.14999847407452621"/>
      <name val="Amasis MT Pro"/>
      <family val="1"/>
    </font>
    <font>
      <b/>
      <sz val="22"/>
      <color theme="1"/>
      <name val="Arial"/>
      <family val="2"/>
    </font>
    <font>
      <sz val="11"/>
      <color theme="1"/>
      <name val="Arial"/>
      <family val="2"/>
    </font>
    <font>
      <b/>
      <sz val="10"/>
      <color theme="5"/>
      <name val="Arial"/>
      <family val="2"/>
    </font>
    <font>
      <b/>
      <sz val="9"/>
      <color theme="5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Amasis MT Pro Medium"/>
      <family val="1"/>
    </font>
    <font>
      <b/>
      <sz val="12"/>
      <color theme="1"/>
      <name val="Amasis MT Pro Medium"/>
      <family val="1"/>
    </font>
    <font>
      <b/>
      <sz val="12"/>
      <color theme="1"/>
      <name val="Arial"/>
      <family val="2"/>
    </font>
    <font>
      <sz val="10"/>
      <color theme="1" tint="0.14999847407452621"/>
      <name val="Cambria"/>
      <family val="1"/>
    </font>
    <font>
      <sz val="10"/>
      <color theme="1"/>
      <name val="Amasis MT Pro Medium"/>
      <family val="1"/>
    </font>
    <font>
      <b/>
      <sz val="22"/>
      <color theme="1"/>
      <name val="Amasis MT Pro Medium"/>
      <family val="1"/>
    </font>
    <font>
      <sz val="10"/>
      <color rgb="FFFF0000"/>
      <name val="Aptos Narrow"/>
      <family val="2"/>
    </font>
    <font>
      <b/>
      <sz val="12"/>
      <color rgb="FF262626"/>
      <name val="Amasis MT Pro"/>
      <family val="1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2E4057"/>
      </patternFill>
    </fill>
    <fill>
      <patternFill patternType="solid">
        <fgColor rgb="FF3A6B7E"/>
      </patternFill>
    </fill>
    <fill>
      <patternFill patternType="solid">
        <fgColor rgb="FFD9E2EC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/>
      <top style="dashed">
        <color theme="4" tint="0.39997558519241921"/>
      </top>
      <bottom style="dashed">
        <color theme="4" tint="0.39997558519241921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/>
      <bottom style="dashed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theme="4" tint="0.39997558519241921"/>
      </left>
      <right/>
      <top/>
      <bottom style="dashed">
        <color theme="4" tint="0.39997558519241921"/>
      </bottom>
      <diagonal/>
    </border>
    <border>
      <left/>
      <right/>
      <top/>
      <bottom style="dashed">
        <color theme="4" tint="0.39997558519241921"/>
      </bottom>
      <diagonal/>
    </border>
    <border>
      <left/>
      <right style="dashed">
        <color theme="4" tint="0.39997558519241921"/>
      </right>
      <top/>
      <bottom style="dashed">
        <color theme="4" tint="0.39997558519241921"/>
      </bottom>
      <diagonal/>
    </border>
    <border>
      <left style="dashed">
        <color theme="4" tint="0.39997558519241921"/>
      </left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ashed">
        <color theme="4" tint="0.39997558519241921"/>
      </right>
      <top style="dashed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/>
    <xf numFmtId="0" fontId="17" fillId="0" borderId="0"/>
  </cellStyleXfs>
  <cellXfs count="155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0" xfId="0" applyFont="1" applyAlignment="1" applyProtection="1">
      <alignment vertical="center"/>
      <protection locked="0"/>
    </xf>
    <xf numFmtId="0" fontId="5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15" fontId="5" fillId="0" borderId="2" xfId="0" applyNumberFormat="1" applyFont="1" applyBorder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2" xfId="0" applyFont="1" applyBorder="1" applyAlignment="1">
      <alignment horizontal="left" wrapText="1"/>
    </xf>
    <xf numFmtId="2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2" fontId="5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4" fillId="0" borderId="0" xfId="0" applyFont="1"/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2" fontId="6" fillId="4" borderId="6" xfId="0" applyNumberFormat="1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2" fontId="10" fillId="2" borderId="9" xfId="0" applyNumberFormat="1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0" xfId="0" applyNumberFormat="1" applyFont="1" applyFill="1" applyBorder="1" applyAlignment="1">
      <alignment horizontal="left" vertical="center"/>
    </xf>
    <xf numFmtId="2" fontId="6" fillId="2" borderId="11" xfId="0" applyNumberFormat="1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" fontId="6" fillId="2" borderId="7" xfId="0" applyNumberFormat="1" applyFont="1" applyFill="1" applyBorder="1" applyAlignment="1">
      <alignment vertical="center"/>
    </xf>
    <xf numFmtId="2" fontId="6" fillId="2" borderId="8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 applyProtection="1">
      <alignment horizontal="center" vertical="center" wrapText="1"/>
      <protection locked="0"/>
    </xf>
    <xf numFmtId="2" fontId="6" fillId="0" borderId="10" xfId="0" applyNumberFormat="1" applyFont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quotePrefix="1" applyFont="1" applyBorder="1" applyAlignment="1">
      <alignment vertical="center"/>
    </xf>
    <xf numFmtId="0" fontId="5" fillId="0" borderId="2" xfId="0" quotePrefix="1" applyFont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2" fontId="7" fillId="3" borderId="2" xfId="0" applyNumberFormat="1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quotePrefix="1" applyFont="1" applyBorder="1" applyAlignment="1">
      <alignment horizontal="center"/>
    </xf>
    <xf numFmtId="0" fontId="5" fillId="0" borderId="2" xfId="0" quotePrefix="1" applyFont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6" fillId="4" borderId="14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11" fillId="0" borderId="0" xfId="1" applyFont="1"/>
    <xf numFmtId="0" fontId="12" fillId="0" borderId="0" xfId="1" applyFont="1"/>
    <xf numFmtId="0" fontId="12" fillId="6" borderId="0" xfId="1" applyFont="1" applyFill="1"/>
    <xf numFmtId="0" fontId="13" fillId="6" borderId="0" xfId="1" applyFont="1" applyFill="1" applyAlignment="1">
      <alignment horizontal="left"/>
    </xf>
    <xf numFmtId="0" fontId="14" fillId="6" borderId="0" xfId="1" applyFont="1" applyFill="1" applyAlignment="1">
      <alignment horizontal="left"/>
    </xf>
    <xf numFmtId="0" fontId="15" fillId="6" borderId="0" xfId="1" applyFont="1" applyFill="1"/>
    <xf numFmtId="0" fontId="12" fillId="0" borderId="0" xfId="1" applyFont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left" vertical="center" wrapText="1"/>
    </xf>
    <xf numFmtId="2" fontId="5" fillId="7" borderId="2" xfId="0" applyNumberFormat="1" applyFont="1" applyFill="1" applyBorder="1" applyAlignment="1">
      <alignment horizontal="center" wrapText="1"/>
    </xf>
    <xf numFmtId="0" fontId="5" fillId="7" borderId="2" xfId="0" applyFont="1" applyFill="1" applyBorder="1" applyAlignment="1">
      <alignment horizontal="center" wrapText="1"/>
    </xf>
    <xf numFmtId="0" fontId="5" fillId="8" borderId="2" xfId="0" applyFont="1" applyFill="1" applyBorder="1" applyAlignment="1">
      <alignment horizontal="left" vertical="center" wrapText="1"/>
    </xf>
    <xf numFmtId="20" fontId="4" fillId="0" borderId="0" xfId="0" applyNumberFormat="1" applyFont="1"/>
    <xf numFmtId="0" fontId="5" fillId="4" borderId="2" xfId="0" applyFont="1" applyFill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7" xfId="0" applyFont="1" applyBorder="1" applyAlignment="1" applyProtection="1">
      <alignment horizontal="left" vertical="center" wrapText="1"/>
      <protection locked="0"/>
    </xf>
    <xf numFmtId="2" fontId="6" fillId="4" borderId="16" xfId="0" applyNumberFormat="1" applyFont="1" applyFill="1" applyBorder="1" applyAlignment="1" applyProtection="1">
      <alignment horizontal="left" vertical="center"/>
      <protection hidden="1"/>
    </xf>
    <xf numFmtId="0" fontId="6" fillId="4" borderId="6" xfId="0" applyFont="1" applyFill="1" applyBorder="1" applyAlignment="1" applyProtection="1">
      <alignment horizontal="center" vertical="center" wrapText="1"/>
      <protection hidden="1"/>
    </xf>
    <xf numFmtId="1" fontId="5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2" xfId="0" applyFont="1" applyFill="1" applyBorder="1" applyAlignment="1" applyProtection="1">
      <alignment horizontal="left" vertical="center" wrapText="1"/>
      <protection hidden="1"/>
    </xf>
    <xf numFmtId="2" fontId="22" fillId="0" borderId="5" xfId="0" applyNumberFormat="1" applyFont="1" applyBorder="1" applyAlignment="1" applyProtection="1">
      <alignment horizontal="center" vertical="center" wrapText="1"/>
      <protection hidden="1"/>
    </xf>
    <xf numFmtId="0" fontId="22" fillId="0" borderId="2" xfId="0" applyFont="1" applyBorder="1" applyAlignment="1" applyProtection="1">
      <alignment horizontal="left" vertical="center" wrapText="1"/>
      <protection hidden="1"/>
    </xf>
    <xf numFmtId="0" fontId="22" fillId="0" borderId="17" xfId="0" applyFont="1" applyBorder="1" applyAlignment="1" applyProtection="1">
      <alignment horizontal="left" vertical="center" wrapText="1"/>
      <protection hidden="1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wrapText="1"/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20" fillId="0" borderId="0" xfId="0" applyFont="1" applyProtection="1">
      <protection hidden="1"/>
    </xf>
    <xf numFmtId="0" fontId="25" fillId="0" borderId="17" xfId="0" applyFont="1" applyBorder="1" applyAlignment="1" applyProtection="1">
      <alignment horizontal="left" vertical="center" wrapText="1"/>
      <protection locked="0"/>
    </xf>
    <xf numFmtId="0" fontId="26" fillId="9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/>
    <xf numFmtId="0" fontId="28" fillId="12" borderId="18" xfId="0" applyFont="1" applyFill="1" applyBorder="1" applyAlignment="1">
      <alignment horizontal="center" vertical="center" wrapText="1"/>
    </xf>
    <xf numFmtId="0" fontId="29" fillId="0" borderId="18" xfId="0" applyFont="1" applyBorder="1"/>
    <xf numFmtId="0" fontId="0" fillId="0" borderId="0" xfId="0" applyFill="1"/>
    <xf numFmtId="0" fontId="20" fillId="0" borderId="0" xfId="0" applyFont="1" applyFill="1"/>
    <xf numFmtId="0" fontId="19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 wrapText="1"/>
    </xf>
    <xf numFmtId="0" fontId="21" fillId="0" borderId="0" xfId="0" applyFont="1" applyFill="1"/>
    <xf numFmtId="0" fontId="18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2" fontId="6" fillId="0" borderId="16" xfId="0" applyNumberFormat="1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1" fontId="5" fillId="0" borderId="5" xfId="0" applyNumberFormat="1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left" wrapText="1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left" wrapText="1"/>
    </xf>
    <xf numFmtId="0" fontId="5" fillId="0" borderId="17" xfId="0" applyFont="1" applyFill="1" applyBorder="1" applyAlignment="1" applyProtection="1">
      <alignment horizontal="center" vertical="center" wrapText="1"/>
      <protection locked="0"/>
    </xf>
    <xf numFmtId="1" fontId="5" fillId="0" borderId="20" xfId="0" applyNumberFormat="1" applyFont="1" applyFill="1" applyBorder="1" applyAlignment="1">
      <alignment horizontal="center" wrapText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0" xfId="0" applyFont="1" applyFill="1" applyAlignment="1">
      <alignment horizontal="left" vertical="center" wrapText="1"/>
    </xf>
    <xf numFmtId="0" fontId="26" fillId="9" borderId="21" xfId="0" applyFont="1" applyFill="1" applyBorder="1" applyAlignment="1">
      <alignment horizontal="center" vertical="center"/>
    </xf>
    <xf numFmtId="0" fontId="26" fillId="9" borderId="19" xfId="0" applyFont="1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/>
    </xf>
    <xf numFmtId="0" fontId="26" fillId="9" borderId="23" xfId="0" applyFont="1" applyFill="1" applyBorder="1" applyAlignment="1">
      <alignment horizontal="center" vertical="center"/>
    </xf>
    <xf numFmtId="0" fontId="27" fillId="10" borderId="18" xfId="0" applyFont="1" applyFill="1" applyBorder="1" applyAlignment="1">
      <alignment horizontal="center" vertical="center"/>
    </xf>
    <xf numFmtId="0" fontId="0" fillId="10" borderId="18" xfId="0" applyFill="1" applyBorder="1"/>
    <xf numFmtId="0" fontId="27" fillId="11" borderId="18" xfId="0" applyFont="1" applyFill="1" applyBorder="1" applyAlignment="1">
      <alignment horizontal="center" vertical="center"/>
    </xf>
    <xf numFmtId="0" fontId="0" fillId="11" borderId="18" xfId="0" applyFill="1" applyBorder="1"/>
    <xf numFmtId="0" fontId="9" fillId="2" borderId="0" xfId="0" applyFont="1" applyFill="1" applyAlignment="1">
      <alignment horizontal="center" vertical="center"/>
    </xf>
    <xf numFmtId="2" fontId="5" fillId="0" borderId="2" xfId="0" applyNumberFormat="1" applyFont="1" applyBorder="1" applyAlignment="1">
      <alignment horizontal="center" wrapText="1"/>
    </xf>
    <xf numFmtId="0" fontId="5" fillId="0" borderId="2" xfId="0" applyFont="1" applyBorder="1" applyAlignment="1">
      <alignment horizontal="left" vertical="center" wrapText="1"/>
    </xf>
    <xf numFmtId="2" fontId="6" fillId="2" borderId="8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2" fontId="6" fillId="2" borderId="8" xfId="0" applyNumberFormat="1" applyFont="1" applyFill="1" applyBorder="1" applyAlignment="1">
      <alignment horizontal="center" vertical="center"/>
    </xf>
    <xf numFmtId="2" fontId="7" fillId="3" borderId="3" xfId="0" applyNumberFormat="1" applyFont="1" applyFill="1" applyBorder="1" applyAlignment="1">
      <alignment horizontal="left" vertical="center"/>
    </xf>
    <xf numFmtId="2" fontId="7" fillId="3" borderId="4" xfId="0" applyNumberFormat="1" applyFont="1" applyFill="1" applyBorder="1" applyAlignment="1">
      <alignment horizontal="left" vertical="center"/>
    </xf>
    <xf numFmtId="2" fontId="7" fillId="3" borderId="5" xfId="0" applyNumberFormat="1" applyFont="1" applyFill="1" applyBorder="1" applyAlignment="1">
      <alignment horizontal="left" vertical="center"/>
    </xf>
    <xf numFmtId="0" fontId="5" fillId="0" borderId="2" xfId="0" applyFont="1" applyBorder="1" applyAlignment="1" applyProtection="1">
      <alignment horizontal="center" vertical="center"/>
      <protection locked="0"/>
    </xf>
    <xf numFmtId="2" fontId="6" fillId="4" borderId="3" xfId="0" applyNumberFormat="1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left" vertical="center" wrapText="1"/>
      <protection hidden="1"/>
    </xf>
    <xf numFmtId="0" fontId="26" fillId="9" borderId="21" xfId="0" applyFont="1" applyFill="1" applyBorder="1" applyAlignment="1">
      <alignment horizontal="center" vertical="center" wrapText="1"/>
    </xf>
    <xf numFmtId="0" fontId="26" fillId="9" borderId="19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A127D73D-2759-47AE-AB25-527E18AF30DD}"/>
    <cellStyle name="Standard_D1778-1.3 2" xfId="2" xr:uid="{98970C00-17D1-4D0B-A813-2D408CBEBA33}"/>
  </cellStyles>
  <dxfs count="19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ashed">
          <color theme="4" tint="0.39997558519241921"/>
        </left>
        <right style="dashed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alignment horizontal="left" vertical="center" textRotation="0" wrapText="1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masis MT Pro"/>
        <family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 style="dashed">
          <color theme="4" tint="0.39997558519241921"/>
        </right>
        <top style="dashed">
          <color theme="4" tint="0.39997558519241921"/>
        </top>
        <bottom style="dashed">
          <color theme="4" tint="0.39997558519241921"/>
        </bottom>
      </border>
      <protection locked="1" hidden="1"/>
    </dxf>
    <dxf>
      <border outline="0">
        <top style="dashed">
          <color theme="4" tint="0.39997558519241921"/>
        </top>
      </border>
    </dxf>
    <dxf>
      <border outline="0">
        <left style="dashed">
          <color theme="4" tint="0.39997558519241921"/>
        </left>
        <bottom style="dashed">
          <color theme="4" tint="0.39997558519241921"/>
        </bottom>
      </border>
    </dxf>
    <dxf>
      <alignment horizontal="left" vertical="center" textRotation="0" wrapText="1" indent="0" justifyLastLine="0" shrinkToFit="0" readingOrder="0"/>
      <protection locked="0" hidden="0"/>
    </dxf>
    <dxf>
      <border outline="0">
        <bottom style="dashed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14999847407452621"/>
        <name val="Amasis MT Pro"/>
        <family val="1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dashed">
          <color theme="4" tint="0.39997558519241921"/>
        </left>
        <right style="dashed">
          <color theme="4" tint="0.39997558519241921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72285</xdr:colOff>
      <xdr:row>24</xdr:row>
      <xdr:rowOff>113733</xdr:rowOff>
    </xdr:from>
    <xdr:to>
      <xdr:col>5</xdr:col>
      <xdr:colOff>163586</xdr:colOff>
      <xdr:row>26</xdr:row>
      <xdr:rowOff>137753</xdr:rowOff>
    </xdr:to>
    <xdr:pic>
      <xdr:nvPicPr>
        <xdr:cNvPr id="2" name="Grafik 3">
          <a:extLst>
            <a:ext uri="{FF2B5EF4-FFF2-40B4-BE49-F238E27FC236}">
              <a16:creationId xmlns:a16="http://schemas.microsoft.com/office/drawing/2014/main" id="{AE2EABF2-7242-46B0-B820-DE8F4E51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160" y="4885758"/>
          <a:ext cx="281801" cy="366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139700</xdr:rowOff>
    </xdr:from>
    <xdr:to>
      <xdr:col>1</xdr:col>
      <xdr:colOff>2267137</xdr:colOff>
      <xdr:row>0</xdr:row>
      <xdr:rowOff>350870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444DF-07B5-4F51-8BEE-E1DE29D66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700"/>
          <a:ext cx="2876737" cy="214345"/>
        </a:xfrm>
        <a:prstGeom prst="rect">
          <a:avLst/>
        </a:prstGeom>
      </xdr:spPr>
    </xdr:pic>
    <xdr:clientData/>
  </xdr:twoCellAnchor>
  <xdr:twoCellAnchor>
    <xdr:from>
      <xdr:col>1</xdr:col>
      <xdr:colOff>654050</xdr:colOff>
      <xdr:row>2</xdr:row>
      <xdr:rowOff>149225</xdr:rowOff>
    </xdr:from>
    <xdr:to>
      <xdr:col>1</xdr:col>
      <xdr:colOff>2305050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49DC872-5D29-B44F-DFA9-85465D78A8FA}"/>
            </a:ext>
          </a:extLst>
        </xdr:cNvPr>
        <xdr:cNvSpPr/>
      </xdr:nvSpPr>
      <xdr:spPr>
        <a:xfrm>
          <a:off x="1292225" y="835025"/>
          <a:ext cx="1651000" cy="241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647700</xdr:colOff>
      <xdr:row>3</xdr:row>
      <xdr:rowOff>95250</xdr:rowOff>
    </xdr:from>
    <xdr:to>
      <xdr:col>1</xdr:col>
      <xdr:colOff>2282825</xdr:colOff>
      <xdr:row>4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A64D4BF-B509-4C5C-9696-477CAA7E9138}"/>
            </a:ext>
          </a:extLst>
        </xdr:cNvPr>
        <xdr:cNvSpPr/>
      </xdr:nvSpPr>
      <xdr:spPr>
        <a:xfrm>
          <a:off x="13144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4</xdr:col>
      <xdr:colOff>143055</xdr:colOff>
      <xdr:row>1</xdr:row>
      <xdr:rowOff>196875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E4D6F4-292B-79EF-AFEA-FB51106BB8B2}"/>
            </a:ext>
            <a:ext uri="{147F2762-F138-4A5C-976F-8EAC2B608ADB}">
              <a16:predDERef xmlns:a16="http://schemas.microsoft.com/office/drawing/2014/main" pred="{EA2D7BD1-1B0F-4F86-B870-200F08F19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3175" y="76200"/>
          <a:ext cx="3324405" cy="485800"/>
        </a:xfrm>
        <a:prstGeom prst="rect">
          <a:avLst/>
        </a:prstGeom>
      </xdr:spPr>
    </xdr:pic>
    <xdr:clientData/>
  </xdr:twoCellAnchor>
  <xdr:twoCellAnchor>
    <xdr:from>
      <xdr:col>3</xdr:col>
      <xdr:colOff>1130300</xdr:colOff>
      <xdr:row>2</xdr:row>
      <xdr:rowOff>149225</xdr:rowOff>
    </xdr:from>
    <xdr:to>
      <xdr:col>3</xdr:col>
      <xdr:colOff>2781300</xdr:colOff>
      <xdr:row>3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E5E83F-C5BD-4BB6-B9DA-0D669FF1833A}"/>
            </a:ext>
          </a:extLst>
        </xdr:cNvPr>
        <xdr:cNvSpPr/>
      </xdr:nvSpPr>
      <xdr:spPr>
        <a:xfrm>
          <a:off x="8216900" y="835025"/>
          <a:ext cx="1651000" cy="2413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1123950</xdr:colOff>
      <xdr:row>3</xdr:row>
      <xdr:rowOff>95250</xdr:rowOff>
    </xdr:from>
    <xdr:to>
      <xdr:col>3</xdr:col>
      <xdr:colOff>2759075</xdr:colOff>
      <xdr:row>4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6DD8D17-0AD8-4C34-9617-A49E14E213F9}"/>
            </a:ext>
          </a:extLst>
        </xdr:cNvPr>
        <xdr:cNvSpPr/>
      </xdr:nvSpPr>
      <xdr:spPr>
        <a:xfrm>
          <a:off x="9010650" y="1152525"/>
          <a:ext cx="1635125" cy="257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2</xdr:row>
      <xdr:rowOff>165099</xdr:rowOff>
    </xdr:from>
    <xdr:to>
      <xdr:col>1</xdr:col>
      <xdr:colOff>2190750</xdr:colOff>
      <xdr:row>3</xdr:row>
      <xdr:rowOff>3174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27DB44C-DC67-4D4D-8FD2-7245845307D5}"/>
            </a:ext>
          </a:extLst>
        </xdr:cNvPr>
        <xdr:cNvSpPr/>
      </xdr:nvSpPr>
      <xdr:spPr>
        <a:xfrm>
          <a:off x="1476375" y="488949"/>
          <a:ext cx="1200150" cy="190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990600</xdr:colOff>
      <xdr:row>3</xdr:row>
      <xdr:rowOff>142875</xdr:rowOff>
    </xdr:from>
    <xdr:to>
      <xdr:col>1</xdr:col>
      <xdr:colOff>2197100</xdr:colOff>
      <xdr:row>3</xdr:row>
      <xdr:rowOff>323850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EC2F99B-4B08-46D6-9CDE-34E6A6CE3FA6}"/>
            </a:ext>
          </a:extLst>
        </xdr:cNvPr>
        <xdr:cNvSpPr/>
      </xdr:nvSpPr>
      <xdr:spPr>
        <a:xfrm>
          <a:off x="1495425" y="819150"/>
          <a:ext cx="1206500" cy="180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1035051</xdr:colOff>
      <xdr:row>2</xdr:row>
      <xdr:rowOff>193674</xdr:rowOff>
    </xdr:from>
    <xdr:to>
      <xdr:col>4</xdr:col>
      <xdr:colOff>2524125</xdr:colOff>
      <xdr:row>3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F98F50B-5405-4B81-9E5E-DB355BDDB6AD}"/>
            </a:ext>
          </a:extLst>
        </xdr:cNvPr>
        <xdr:cNvSpPr/>
      </xdr:nvSpPr>
      <xdr:spPr>
        <a:xfrm>
          <a:off x="8540751" y="517524"/>
          <a:ext cx="1489074" cy="18732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1047751</xdr:colOff>
      <xdr:row>3</xdr:row>
      <xdr:rowOff>152400</xdr:rowOff>
    </xdr:from>
    <xdr:to>
      <xdr:col>4</xdr:col>
      <xdr:colOff>2514601</xdr:colOff>
      <xdr:row>4</xdr:row>
      <xdr:rowOff>6350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7BB0E22-250A-4769-A7F6-1C548C08180A}"/>
            </a:ext>
          </a:extLst>
        </xdr:cNvPr>
        <xdr:cNvSpPr/>
      </xdr:nvSpPr>
      <xdr:spPr>
        <a:xfrm>
          <a:off x="8553451" y="828675"/>
          <a:ext cx="1466850" cy="2159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1539874</xdr:colOff>
      <xdr:row>4</xdr:row>
      <xdr:rowOff>101600</xdr:rowOff>
    </xdr:from>
    <xdr:to>
      <xdr:col>4</xdr:col>
      <xdr:colOff>2133599</xdr:colOff>
      <xdr:row>4</xdr:row>
      <xdr:rowOff>257175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EA7EAF0-CEDF-4CEB-B444-65877A7BFA84}"/>
            </a:ext>
          </a:extLst>
        </xdr:cNvPr>
        <xdr:cNvSpPr/>
      </xdr:nvSpPr>
      <xdr:spPr>
        <a:xfrm>
          <a:off x="9397999" y="1139825"/>
          <a:ext cx="593725" cy="1555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28575</xdr:rowOff>
    </xdr:from>
    <xdr:to>
      <xdr:col>1</xdr:col>
      <xdr:colOff>2200631</xdr:colOff>
      <xdr:row>0</xdr:row>
      <xdr:rowOff>476366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4D9285-A7E8-C2C6-1A9B-649FB3658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8575"/>
          <a:ext cx="2524125" cy="451601"/>
        </a:xfrm>
        <a:prstGeom prst="rect">
          <a:avLst/>
        </a:prstGeom>
      </xdr:spPr>
    </xdr:pic>
    <xdr:clientData/>
  </xdr:twoCellAnchor>
  <xdr:twoCellAnchor>
    <xdr:from>
      <xdr:col>0</xdr:col>
      <xdr:colOff>58615</xdr:colOff>
      <xdr:row>2</xdr:row>
      <xdr:rowOff>3664</xdr:rowOff>
    </xdr:from>
    <xdr:to>
      <xdr:col>1</xdr:col>
      <xdr:colOff>1479177</xdr:colOff>
      <xdr:row>3</xdr:row>
      <xdr:rowOff>153866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5894F8-5EF4-72E8-ADE3-5C33D0ADC9F6}"/>
            </a:ext>
          </a:extLst>
        </xdr:cNvPr>
        <xdr:cNvSpPr/>
      </xdr:nvSpPr>
      <xdr:spPr>
        <a:xfrm>
          <a:off x="58615" y="821693"/>
          <a:ext cx="1891209" cy="36311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1729278</xdr:colOff>
      <xdr:row>2</xdr:row>
      <xdr:rowOff>1316</xdr:rowOff>
    </xdr:from>
    <xdr:to>
      <xdr:col>2</xdr:col>
      <xdr:colOff>739714</xdr:colOff>
      <xdr:row>3</xdr:row>
      <xdr:rowOff>141993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9DF9729-E930-4F4B-8CE6-5A0A9504D9CD}"/>
            </a:ext>
          </a:extLst>
        </xdr:cNvPr>
        <xdr:cNvSpPr/>
      </xdr:nvSpPr>
      <xdr:spPr>
        <a:xfrm>
          <a:off x="2193622" y="816894"/>
          <a:ext cx="1314295" cy="34903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1795224</xdr:colOff>
      <xdr:row>1</xdr:row>
      <xdr:rowOff>210155</xdr:rowOff>
    </xdr:from>
    <xdr:to>
      <xdr:col>3</xdr:col>
      <xdr:colOff>1192695</xdr:colOff>
      <xdr:row>3</xdr:row>
      <xdr:rowOff>173934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9E7CE8B-6025-4ED9-ABEB-88DA8F9EA609}"/>
            </a:ext>
          </a:extLst>
        </xdr:cNvPr>
        <xdr:cNvSpPr/>
      </xdr:nvSpPr>
      <xdr:spPr>
        <a:xfrm>
          <a:off x="4574283" y="815273"/>
          <a:ext cx="2647177" cy="38960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6303</xdr:colOff>
      <xdr:row>1</xdr:row>
      <xdr:rowOff>209550</xdr:rowOff>
    </xdr:from>
    <xdr:to>
      <xdr:col>6</xdr:col>
      <xdr:colOff>1772478</xdr:colOff>
      <xdr:row>3</xdr:row>
      <xdr:rowOff>177121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C3087E-9A36-4AC4-B22E-29DAB296DDCD}"/>
            </a:ext>
          </a:extLst>
        </xdr:cNvPr>
        <xdr:cNvSpPr/>
      </xdr:nvSpPr>
      <xdr:spPr>
        <a:xfrm>
          <a:off x="7469421" y="814668"/>
          <a:ext cx="4623675" cy="3933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551259</xdr:colOff>
      <xdr:row>5</xdr:row>
      <xdr:rowOff>16248</xdr:rowOff>
    </xdr:from>
    <xdr:to>
      <xdr:col>6</xdr:col>
      <xdr:colOff>1781736</xdr:colOff>
      <xdr:row>5</xdr:row>
      <xdr:rowOff>371475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41301D-8D5C-4E6F-BEA9-B05B96A4BDB5}"/>
            </a:ext>
          </a:extLst>
        </xdr:cNvPr>
        <xdr:cNvSpPr/>
      </xdr:nvSpPr>
      <xdr:spPr>
        <a:xfrm>
          <a:off x="6571059" y="1464048"/>
          <a:ext cx="5526252" cy="35522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549578</xdr:colOff>
      <xdr:row>6</xdr:row>
      <xdr:rowOff>190500</xdr:rowOff>
    </xdr:from>
    <xdr:to>
      <xdr:col>6</xdr:col>
      <xdr:colOff>1792941</xdr:colOff>
      <xdr:row>7</xdr:row>
      <xdr:rowOff>347383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AE0837D-423F-4F28-9E0F-CF0F396DFEF9}"/>
            </a:ext>
          </a:extLst>
        </xdr:cNvPr>
        <xdr:cNvSpPr/>
      </xdr:nvSpPr>
      <xdr:spPr>
        <a:xfrm>
          <a:off x="8617813" y="2129118"/>
          <a:ext cx="5535216" cy="3697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547898</xdr:colOff>
      <xdr:row>8</xdr:row>
      <xdr:rowOff>134470</xdr:rowOff>
    </xdr:from>
    <xdr:to>
      <xdr:col>6</xdr:col>
      <xdr:colOff>1792941</xdr:colOff>
      <xdr:row>9</xdr:row>
      <xdr:rowOff>313765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BBE0443-30D3-4553-894F-CFFC0141D64D}"/>
            </a:ext>
          </a:extLst>
        </xdr:cNvPr>
        <xdr:cNvSpPr/>
      </xdr:nvSpPr>
      <xdr:spPr>
        <a:xfrm>
          <a:off x="8616133" y="2745441"/>
          <a:ext cx="5536896" cy="39220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559103</xdr:colOff>
      <xdr:row>10</xdr:row>
      <xdr:rowOff>115420</xdr:rowOff>
    </xdr:from>
    <xdr:to>
      <xdr:col>6</xdr:col>
      <xdr:colOff>1792941</xdr:colOff>
      <xdr:row>11</xdr:row>
      <xdr:rowOff>280147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1D636E5-E8E5-4971-91D5-F2058258D4C2}"/>
            </a:ext>
          </a:extLst>
        </xdr:cNvPr>
        <xdr:cNvSpPr/>
      </xdr:nvSpPr>
      <xdr:spPr>
        <a:xfrm>
          <a:off x="8627338" y="3376332"/>
          <a:ext cx="5525691" cy="37763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555742</xdr:colOff>
      <xdr:row>12</xdr:row>
      <xdr:rowOff>200025</xdr:rowOff>
    </xdr:from>
    <xdr:to>
      <xdr:col>6</xdr:col>
      <xdr:colOff>1804147</xdr:colOff>
      <xdr:row>13</xdr:row>
      <xdr:rowOff>302559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B36730C-27AE-410B-9385-BF96106624E4}"/>
            </a:ext>
          </a:extLst>
        </xdr:cNvPr>
        <xdr:cNvSpPr/>
      </xdr:nvSpPr>
      <xdr:spPr>
        <a:xfrm>
          <a:off x="6575542" y="4095750"/>
          <a:ext cx="5544180" cy="31208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506435</xdr:colOff>
      <xdr:row>5</xdr:row>
      <xdr:rowOff>373155</xdr:rowOff>
    </xdr:from>
    <xdr:to>
      <xdr:col>4</xdr:col>
      <xdr:colOff>1815353</xdr:colOff>
      <xdr:row>6</xdr:row>
      <xdr:rowOff>100853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89244EE-99A4-41D4-9768-8481EE1986B0}"/>
            </a:ext>
          </a:extLst>
        </xdr:cNvPr>
        <xdr:cNvSpPr/>
      </xdr:nvSpPr>
      <xdr:spPr>
        <a:xfrm>
          <a:off x="8574670" y="1829920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501953</xdr:colOff>
      <xdr:row>13</xdr:row>
      <xdr:rowOff>301438</xdr:rowOff>
    </xdr:from>
    <xdr:to>
      <xdr:col>4</xdr:col>
      <xdr:colOff>1810871</xdr:colOff>
      <xdr:row>14</xdr:row>
      <xdr:rowOff>6725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00D4142-AB3E-45EC-8F35-9A6760C04D41}"/>
            </a:ext>
          </a:extLst>
        </xdr:cNvPr>
        <xdr:cNvSpPr/>
      </xdr:nvSpPr>
      <xdr:spPr>
        <a:xfrm>
          <a:off x="8570188" y="4425203"/>
          <a:ext cx="2743271" cy="220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i="1">
              <a:solidFill>
                <a:schemeClr val="tx1"/>
              </a:solidFill>
            </a:rPr>
            <a:t>Use Annexure-1</a:t>
          </a:r>
          <a:r>
            <a:rPr lang="en-IN" sz="1100" i="1" baseline="0">
              <a:solidFill>
                <a:schemeClr val="tx1"/>
              </a:solidFill>
            </a:rPr>
            <a:t> for more number of stations</a:t>
          </a:r>
          <a:endParaRPr lang="en-IN" sz="1100" i="1">
            <a:solidFill>
              <a:schemeClr val="tx1"/>
            </a:solidFill>
          </a:endParaRPr>
        </a:p>
      </xdr:txBody>
    </xdr:sp>
    <xdr:clientData/>
  </xdr:twoCellAnchor>
  <xdr:oneCellAnchor>
    <xdr:from>
      <xdr:col>0</xdr:col>
      <xdr:colOff>0</xdr:colOff>
      <xdr:row>0</xdr:row>
      <xdr:rowOff>571500</xdr:rowOff>
    </xdr:from>
    <xdr:ext cx="979755" cy="276999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32C397-1577-E09F-EAB6-ECEEAC017182}"/>
            </a:ext>
            <a:ext uri="{147F2762-F138-4A5C-976F-8EAC2B608ADB}">
              <a16:predDERef xmlns:a16="http://schemas.microsoft.com/office/drawing/2014/main" pred="{E00D4142-AB3E-45EC-8F35-9A6760C04D41}"/>
            </a:ext>
          </a:extLst>
        </xdr:cNvPr>
        <xdr:cNvSpPr txBox="1"/>
      </xdr:nvSpPr>
      <xdr:spPr>
        <a:xfrm>
          <a:off x="0" y="571500"/>
          <a:ext cx="979755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>
              <a:latin typeface="Amasis MT Pro" panose="02040504050005020304" pitchFamily="18" charset="0"/>
            </a:rPr>
            <a:t>Created by</a:t>
          </a:r>
        </a:p>
      </xdr:txBody>
    </xdr:sp>
    <xdr:clientData/>
  </xdr:oneCellAnchor>
  <xdr:oneCellAnchor>
    <xdr:from>
      <xdr:col>1</xdr:col>
      <xdr:colOff>1642781</xdr:colOff>
      <xdr:row>0</xdr:row>
      <xdr:rowOff>567018</xdr:rowOff>
    </xdr:from>
    <xdr:ext cx="526106" cy="276999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250B2D5-95F3-4175-B2BE-7CF6A255F6A6}"/>
            </a:ext>
            <a:ext uri="{147F2762-F138-4A5C-976F-8EAC2B608ADB}">
              <a16:predDERef xmlns:a16="http://schemas.microsoft.com/office/drawing/2014/main" pred="{A732C397-1577-E09F-EAB6-ECEEAC017182}"/>
            </a:ext>
          </a:extLst>
        </xdr:cNvPr>
        <xdr:cNvSpPr txBox="1"/>
      </xdr:nvSpPr>
      <xdr:spPr>
        <a:xfrm>
          <a:off x="2109506" y="567018"/>
          <a:ext cx="526106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sz="1200" b="1">
              <a:solidFill>
                <a:schemeClr val="tx1"/>
              </a:solidFill>
              <a:latin typeface="Amasis MT Pro" panose="02040504050005020304" pitchFamily="18" charset="0"/>
            </a:rPr>
            <a:t>Date</a:t>
          </a:r>
        </a:p>
      </xdr:txBody>
    </xdr:sp>
    <xdr:clientData/>
  </xdr:oneCellAnchor>
  <xdr:oneCellAnchor>
    <xdr:from>
      <xdr:col>2</xdr:col>
      <xdr:colOff>865093</xdr:colOff>
      <xdr:row>0</xdr:row>
      <xdr:rowOff>573742</xdr:rowOff>
    </xdr:from>
    <xdr:ext cx="503471" cy="27699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827E205-B7DE-4605-8CBE-B5105EC1A77C}"/>
            </a:ext>
          </a:extLst>
        </xdr:cNvPr>
        <xdr:cNvSpPr txBox="1"/>
      </xdr:nvSpPr>
      <xdr:spPr>
        <a:xfrm>
          <a:off x="3644152" y="573742"/>
          <a:ext cx="503471" cy="2769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200" b="1" baseline="0">
              <a:latin typeface="Amasis MT Pro" panose="02040504050005020304" pitchFamily="18" charset="0"/>
            </a:rPr>
            <a:t> Rev</a:t>
          </a:r>
          <a:endParaRPr lang="en-IN" sz="1200" b="1">
            <a:latin typeface="Amasis MT Pro" panose="02040504050005020304" pitchFamily="18" charset="0"/>
          </a:endParaRPr>
        </a:p>
      </xdr:txBody>
    </xdr:sp>
    <xdr:clientData/>
  </xdr:oneCellAnchor>
  <xdr:twoCellAnchor>
    <xdr:from>
      <xdr:col>2</xdr:col>
      <xdr:colOff>1000126</xdr:colOff>
      <xdr:row>2</xdr:row>
      <xdr:rowOff>2939</xdr:rowOff>
    </xdr:from>
    <xdr:to>
      <xdr:col>2</xdr:col>
      <xdr:colOff>1398444</xdr:colOff>
      <xdr:row>3</xdr:row>
      <xdr:rowOff>143616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84172ADE-FFAC-4508-B7A0-8082A478AC40}"/>
            </a:ext>
          </a:extLst>
        </xdr:cNvPr>
        <xdr:cNvSpPr/>
      </xdr:nvSpPr>
      <xdr:spPr>
        <a:xfrm>
          <a:off x="3771035" y="821223"/>
          <a:ext cx="398318" cy="348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cqos-india\qos-apac\Documents%20and%20Settings\Arun\Desktop\Anjali\To%20be%20emailed\08%20Aug\24.08\DMM%20FORMUL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DMM Plan"/>
      <sheetName val="DMM responsiblity Calender"/>
      <sheetName val="Ext Audit Action item Tracker"/>
      <sheetName val="SA8000 Roadmapvc1.0"/>
      <sheetName val="RoHS Road Map"/>
      <sheetName val="OHSAS 18k"/>
      <sheetName val="Pivot table data"/>
      <sheetName val="01 - Data &amp; chart"/>
      <sheetName val="Summary report - Top 5"/>
      <sheetName val="DMM Action Plan tracker 2006"/>
      <sheetName val="Annex V Road Map"/>
      <sheetName val="COPQ"/>
      <sheetName val="ICSS"/>
      <sheetName val="EL manual changes"/>
      <sheetName val="QMS"/>
      <sheetName val="EHS"/>
      <sheetName val="BPM"/>
      <sheetName val="QTC"/>
      <sheetName val="DCC"/>
      <sheetName val="PQR"/>
      <sheetName val="Agenda &amp; DMM Instructions "/>
      <sheetName val="2006 calender"/>
      <sheetName val="Formul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0F31CD-E2B3-4D19-A851-0477C04DF5FE}" name="Table35" displayName="Table35" ref="A6:D39" totalsRowShown="0" headerRowDxfId="18" dataDxfId="16" headerRowBorderDxfId="17" tableBorderDxfId="15" totalsRowBorderDxfId="14">
  <autoFilter ref="A6:D39" xr:uid="{640F31CD-E2B3-4D19-A851-0477C04DF5FE}"/>
  <tableColumns count="4">
    <tableColumn id="1" xr3:uid="{0DACC64B-A152-463E-B149-71997E48342C}" name="Sl. No." dataDxfId="13"/>
    <tableColumn id="2" xr3:uid="{F3469C32-3755-40D1-BB66-7BF8433C9B34}" name="IFC Design Questionnaire" dataDxfId="12"/>
    <tableColumn id="3" xr3:uid="{43AD5B27-0C9B-4DAF-AFA1-6E46C7795059}" name="Response" dataDxfId="11"/>
    <tableColumn id="6" xr3:uid="{99AF9000-5EBA-4DD7-9DD3-648BAD331A29}" name="Remarks" dataDxfId="1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E2E3C8-6F5D-4B80-8CEA-2018752E84DE}" name="Table354" displayName="Table354" ref="A6:E50" totalsRowShown="0" headerRowDxfId="9" dataDxfId="7" headerRowBorderDxfId="8" tableBorderDxfId="6" totalsRowBorderDxfId="5">
  <autoFilter ref="A6:E50" xr:uid="{31E2E3C8-6F5D-4B80-8CEA-2018752E84DE}"/>
  <tableColumns count="5">
    <tableColumn id="1" xr3:uid="{1B39FE09-C589-4DDD-B4F2-D02AE9604DA7}" name="Sl. No." dataDxfId="4"/>
    <tableColumn id="2" xr3:uid="{65949EED-6FDD-4928-93CB-D7D64D08D00E}" name="IFC Design Questionnaire" dataDxfId="2"/>
    <tableColumn id="4" xr3:uid="{195232AC-957B-4D35-8686-70EF49EF349B}" name="Configuration Word" dataDxfId="0"/>
    <tableColumn id="3" xr3:uid="{5C27BBA8-F785-4C2A-A6DB-6B0F061411DD}" name="Response" dataDxfId="1"/>
    <tableColumn id="6" xr3:uid="{D09AEC7B-CFE9-464E-BF1B-5FA63990751E}" name="Remarks" dataDxfId="3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5F9B-82AA-420A-A91E-6595832641D9}">
  <dimension ref="C7:AE44"/>
  <sheetViews>
    <sheetView view="pageLayout" topLeftCell="A23" zoomScale="115" zoomScaleNormal="145" zoomScalePageLayoutView="115" workbookViewId="0">
      <selection activeCell="I31" sqref="I30:I31"/>
    </sheetView>
  </sheetViews>
  <sheetFormatPr defaultColWidth="2.7109375" defaultRowHeight="14.1" customHeight="1" x14ac:dyDescent="0.2"/>
  <cols>
    <col min="1" max="1" width="2.7109375" style="64"/>
    <col min="2" max="2" width="4.7109375" style="64" customWidth="1"/>
    <col min="3" max="3" width="2.7109375" style="64"/>
    <col min="4" max="4" width="2.7109375" style="64" customWidth="1"/>
    <col min="5" max="16384" width="2.7109375" style="64"/>
  </cols>
  <sheetData>
    <row r="7" spans="3:8" ht="30.75" customHeight="1" x14ac:dyDescent="0.4">
      <c r="C7" s="63"/>
      <c r="E7" s="63" t="s">
        <v>0</v>
      </c>
      <c r="F7" s="63"/>
      <c r="G7" s="63"/>
      <c r="H7" s="63"/>
    </row>
    <row r="8" spans="3:8" ht="30.75" customHeight="1" x14ac:dyDescent="0.4">
      <c r="C8" s="63"/>
      <c r="E8" s="63"/>
    </row>
    <row r="9" spans="3:8" ht="30.75" customHeight="1" x14ac:dyDescent="0.4">
      <c r="C9" s="63"/>
      <c r="E9" s="63"/>
    </row>
    <row r="25" spans="5:18" ht="14.1" customHeight="1" x14ac:dyDescent="0.2"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</row>
    <row r="26" spans="5:18" ht="14.1" customHeight="1" x14ac:dyDescent="0.2">
      <c r="E26" s="65"/>
      <c r="F26" s="65"/>
      <c r="G26" s="65"/>
      <c r="H26" s="65" t="s">
        <v>1</v>
      </c>
      <c r="I26" s="66"/>
      <c r="J26" s="65"/>
      <c r="K26" s="65"/>
      <c r="L26" s="65"/>
      <c r="M26" s="65"/>
      <c r="N26" s="65"/>
      <c r="O26" s="65"/>
      <c r="P26" s="65"/>
      <c r="Q26" s="65"/>
      <c r="R26" s="65"/>
    </row>
    <row r="27" spans="5:18" ht="14.1" customHeight="1" x14ac:dyDescent="0.2">
      <c r="E27" s="65"/>
      <c r="F27" s="65"/>
      <c r="G27" s="65"/>
      <c r="H27" s="65" t="s">
        <v>2</v>
      </c>
      <c r="I27" s="67"/>
      <c r="J27" s="65"/>
      <c r="K27" s="65"/>
      <c r="L27" s="65"/>
      <c r="M27" s="65"/>
      <c r="N27" s="65"/>
      <c r="O27" s="65"/>
      <c r="P27" s="65"/>
      <c r="Q27" s="65"/>
      <c r="R27" s="65"/>
    </row>
    <row r="28" spans="5:18" ht="9.75" customHeight="1" x14ac:dyDescent="0.2"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</row>
    <row r="29" spans="5:18" ht="14.1" customHeight="1" x14ac:dyDescent="0.2">
      <c r="E29" s="65"/>
      <c r="F29" s="65"/>
      <c r="G29" s="65"/>
      <c r="H29" s="65" t="s">
        <v>3</v>
      </c>
      <c r="I29" s="68"/>
      <c r="J29" s="65"/>
      <c r="K29" s="65"/>
      <c r="L29" s="65"/>
      <c r="M29" s="65"/>
      <c r="N29" s="65"/>
      <c r="O29" s="65"/>
      <c r="P29" s="65"/>
      <c r="Q29" s="65"/>
      <c r="R29" s="65"/>
    </row>
    <row r="30" spans="5:18" ht="14.1" customHeight="1" x14ac:dyDescent="0.2">
      <c r="E30" s="65"/>
      <c r="F30" s="65"/>
      <c r="G30" s="65"/>
      <c r="H30" s="65" t="s">
        <v>4</v>
      </c>
      <c r="I30" s="68"/>
      <c r="J30" s="65"/>
      <c r="K30" s="65"/>
      <c r="L30" s="65"/>
      <c r="M30" s="65"/>
      <c r="N30" s="65"/>
      <c r="O30" s="65"/>
      <c r="P30" s="65"/>
      <c r="Q30" s="65"/>
      <c r="R30" s="65"/>
    </row>
    <row r="31" spans="5:18" ht="14.1" customHeight="1" x14ac:dyDescent="0.2">
      <c r="E31" s="65"/>
      <c r="F31" s="65"/>
      <c r="G31" s="65"/>
      <c r="H31" s="65"/>
      <c r="I31" s="68"/>
      <c r="J31" s="65"/>
      <c r="K31" s="65"/>
      <c r="L31" s="65"/>
      <c r="M31" s="65"/>
      <c r="N31" s="65"/>
      <c r="O31" s="65"/>
      <c r="P31" s="65"/>
      <c r="Q31" s="65"/>
      <c r="R31" s="65"/>
    </row>
    <row r="32" spans="5:18" ht="14.1" customHeight="1" x14ac:dyDescent="0.2"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</row>
    <row r="43" spans="5:31" s="69" customFormat="1" ht="14.1" customHeight="1" x14ac:dyDescent="0.2"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</row>
    <row r="44" spans="5:31" s="69" customFormat="1" ht="14.1" customHeight="1" x14ac:dyDescent="0.2"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</row>
  </sheetData>
  <pageMargins left="0" right="0.39370078740157483" top="1.3385826771653544" bottom="0.9055118110236221" header="0" footer="0"/>
  <pageSetup paperSize="9" orientation="portrait" r:id="rId1"/>
  <headerFooter differentFirst="1">
    <oddHeader>&amp;C&amp;G</oddHeader>
    <oddFooter>&amp;C&amp;"Arial,Standard"&amp;6&amp;G</oddFooter>
    <firstHeader>&amp;C&amp;G</firstHeader>
    <firstFooter>&amp;C&amp;G</first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6A23-9B88-45B3-BE16-B011D178D586}">
  <dimension ref="A1:J39"/>
  <sheetViews>
    <sheetView showGridLines="0" zoomScaleNormal="100" workbookViewId="0">
      <selection activeCell="C13" sqref="C13"/>
    </sheetView>
  </sheetViews>
  <sheetFormatPr defaultColWidth="8.7109375" defaultRowHeight="12.75" customHeight="1" x14ac:dyDescent="0.2"/>
  <cols>
    <col min="1" max="1" width="9.5703125" style="86" customWidth="1"/>
    <col min="2" max="2" width="44" style="87" customWidth="1"/>
    <col min="3" max="3" width="52.7109375" style="86" customWidth="1"/>
    <col min="4" max="4" width="47.85546875" style="86" customWidth="1"/>
    <col min="5" max="16384" width="8.7109375" style="86"/>
  </cols>
  <sheetData>
    <row r="1" spans="1:10" ht="29.1" customHeight="1" x14ac:dyDescent="0.2"/>
    <row r="2" spans="1:10" ht="25.5" customHeight="1" x14ac:dyDescent="0.25">
      <c r="A2" s="88"/>
      <c r="B2" s="89"/>
      <c r="C2" s="88"/>
      <c r="D2" s="88"/>
    </row>
    <row r="3" spans="1:10" ht="28.5" customHeight="1" x14ac:dyDescent="0.25">
      <c r="A3" s="96" t="s">
        <v>5</v>
      </c>
      <c r="B3" s="91"/>
      <c r="C3" s="119" t="s">
        <v>6</v>
      </c>
      <c r="D3" s="96" t="s">
        <v>7</v>
      </c>
      <c r="E3" s="92"/>
      <c r="H3" s="93"/>
      <c r="I3" s="93"/>
      <c r="J3" s="93"/>
    </row>
    <row r="4" spans="1:10" ht="24" customHeight="1" x14ac:dyDescent="0.25">
      <c r="A4" s="96" t="s">
        <v>8</v>
      </c>
      <c r="B4" s="91"/>
      <c r="C4" s="119"/>
      <c r="D4" s="96" t="s">
        <v>9</v>
      </c>
      <c r="E4" s="92"/>
      <c r="H4" s="93"/>
      <c r="I4" s="93"/>
      <c r="J4" s="93"/>
    </row>
    <row r="5" spans="1:10" ht="18" customHeight="1" x14ac:dyDescent="0.25">
      <c r="A5" s="90"/>
      <c r="B5" s="91"/>
      <c r="C5" s="94"/>
      <c r="D5" s="88"/>
      <c r="E5" s="93"/>
      <c r="F5" s="93"/>
      <c r="G5" s="93"/>
      <c r="H5" s="93"/>
      <c r="I5" s="93"/>
      <c r="J5" s="93"/>
    </row>
    <row r="6" spans="1:10" ht="16.5" x14ac:dyDescent="0.2">
      <c r="A6" s="79" t="s">
        <v>10</v>
      </c>
      <c r="B6" s="80" t="s">
        <v>11</v>
      </c>
      <c r="C6" s="95" t="s">
        <v>12</v>
      </c>
      <c r="D6" s="95" t="s">
        <v>13</v>
      </c>
    </row>
    <row r="7" spans="1:10" ht="13.5" x14ac:dyDescent="0.2">
      <c r="A7" s="81">
        <v>1</v>
      </c>
      <c r="B7" s="82" t="s">
        <v>14</v>
      </c>
      <c r="C7" s="76"/>
      <c r="D7" s="76"/>
    </row>
    <row r="8" spans="1:10" ht="13.5" x14ac:dyDescent="0.2">
      <c r="A8" s="83">
        <v>1.01</v>
      </c>
      <c r="B8" s="84" t="s">
        <v>15</v>
      </c>
      <c r="C8" s="77" t="s">
        <v>306</v>
      </c>
      <c r="D8" s="77"/>
    </row>
    <row r="9" spans="1:10" ht="13.5" x14ac:dyDescent="0.2">
      <c r="A9" s="83">
        <v>1.02</v>
      </c>
      <c r="B9" s="84" t="s">
        <v>17</v>
      </c>
      <c r="C9" s="77" t="s">
        <v>18</v>
      </c>
      <c r="D9" s="77"/>
    </row>
    <row r="10" spans="1:10" ht="25.5" x14ac:dyDescent="0.2">
      <c r="A10" s="83">
        <v>1.03</v>
      </c>
      <c r="B10" s="84" t="s">
        <v>19</v>
      </c>
      <c r="C10" s="77" t="s">
        <v>20</v>
      </c>
      <c r="D10" s="77"/>
    </row>
    <row r="11" spans="1:10" ht="25.5" x14ac:dyDescent="0.2">
      <c r="A11" s="83">
        <v>1.04</v>
      </c>
      <c r="B11" s="84" t="s">
        <v>21</v>
      </c>
      <c r="C11" s="77" t="s">
        <v>22</v>
      </c>
      <c r="D11" s="77"/>
    </row>
    <row r="12" spans="1:10" ht="27" customHeight="1" x14ac:dyDescent="0.2">
      <c r="A12" s="83">
        <v>1.05</v>
      </c>
      <c r="B12" s="85" t="s">
        <v>23</v>
      </c>
      <c r="C12" s="78" t="s">
        <v>24</v>
      </c>
      <c r="D12" s="78"/>
    </row>
    <row r="13" spans="1:10" ht="51" x14ac:dyDescent="0.2">
      <c r="A13" s="83">
        <v>1.06</v>
      </c>
      <c r="B13" s="85" t="s">
        <v>25</v>
      </c>
      <c r="C13" s="78" t="s">
        <v>26</v>
      </c>
      <c r="D13" s="97"/>
    </row>
    <row r="14" spans="1:10" ht="38.25" x14ac:dyDescent="0.2">
      <c r="A14" s="83">
        <v>1.07</v>
      </c>
      <c r="B14" s="84" t="s">
        <v>27</v>
      </c>
      <c r="C14" s="77" t="s">
        <v>26</v>
      </c>
      <c r="D14" s="77"/>
    </row>
    <row r="15" spans="1:10" ht="38.25" x14ac:dyDescent="0.2">
      <c r="A15" s="83">
        <v>1.08</v>
      </c>
      <c r="B15" s="84" t="s">
        <v>447</v>
      </c>
      <c r="C15" s="77" t="s">
        <v>449</v>
      </c>
      <c r="D15" s="77"/>
    </row>
    <row r="16" spans="1:10" ht="13.5" x14ac:dyDescent="0.2">
      <c r="A16" s="83">
        <v>1.0900000000000001</v>
      </c>
      <c r="B16" s="152" t="s">
        <v>456</v>
      </c>
      <c r="C16" s="77" t="s">
        <v>464</v>
      </c>
      <c r="D16" s="77"/>
    </row>
    <row r="17" spans="1:4" ht="13.5" x14ac:dyDescent="0.2">
      <c r="A17" s="83">
        <v>1.1000000000000001</v>
      </c>
      <c r="B17" s="84" t="s">
        <v>457</v>
      </c>
      <c r="C17" s="77" t="s">
        <v>207</v>
      </c>
      <c r="D17" s="77"/>
    </row>
    <row r="18" spans="1:4" ht="13.5" x14ac:dyDescent="0.2">
      <c r="A18" s="81">
        <v>2</v>
      </c>
      <c r="B18" s="82" t="s">
        <v>28</v>
      </c>
      <c r="C18" s="76"/>
      <c r="D18" s="76"/>
    </row>
    <row r="19" spans="1:4" ht="13.5" x14ac:dyDescent="0.2">
      <c r="A19" s="83">
        <v>2.0099999999999998</v>
      </c>
      <c r="B19" s="84" t="s">
        <v>29</v>
      </c>
      <c r="C19" s="77" t="s">
        <v>30</v>
      </c>
      <c r="D19" s="77"/>
    </row>
    <row r="20" spans="1:4" ht="13.5" x14ac:dyDescent="0.2">
      <c r="A20" s="83">
        <v>2.02</v>
      </c>
      <c r="B20" s="84" t="s">
        <v>31</v>
      </c>
      <c r="C20" s="77" t="s">
        <v>32</v>
      </c>
      <c r="D20" s="77"/>
    </row>
    <row r="21" spans="1:4" ht="13.5" x14ac:dyDescent="0.2">
      <c r="A21" s="83">
        <v>2.0299999999999998</v>
      </c>
      <c r="B21" s="84" t="s">
        <v>33</v>
      </c>
      <c r="C21" s="77" t="s">
        <v>32</v>
      </c>
      <c r="D21" s="77"/>
    </row>
    <row r="22" spans="1:4" ht="13.5" x14ac:dyDescent="0.2">
      <c r="A22" s="83">
        <v>2.04</v>
      </c>
      <c r="B22" s="84" t="s">
        <v>34</v>
      </c>
      <c r="C22" s="78" t="s">
        <v>26</v>
      </c>
      <c r="D22" s="77"/>
    </row>
    <row r="23" spans="1:4" ht="13.5" x14ac:dyDescent="0.2">
      <c r="A23" s="83">
        <v>2.0499999999999998</v>
      </c>
      <c r="B23" s="85" t="s">
        <v>35</v>
      </c>
      <c r="C23" s="77" t="s">
        <v>36</v>
      </c>
      <c r="D23" s="78"/>
    </row>
    <row r="24" spans="1:4" ht="25.5" x14ac:dyDescent="0.2">
      <c r="A24" s="83">
        <v>2.06</v>
      </c>
      <c r="B24" s="84" t="s">
        <v>37</v>
      </c>
      <c r="C24" s="77" t="s">
        <v>38</v>
      </c>
      <c r="D24" s="77"/>
    </row>
    <row r="25" spans="1:4" ht="13.5" x14ac:dyDescent="0.2">
      <c r="A25" s="81">
        <v>3</v>
      </c>
      <c r="B25" s="82" t="s">
        <v>40</v>
      </c>
      <c r="C25" s="76"/>
      <c r="D25" s="76"/>
    </row>
    <row r="26" spans="1:4" ht="13.5" x14ac:dyDescent="0.2">
      <c r="A26" s="83">
        <v>3.01</v>
      </c>
      <c r="B26" s="84" t="s">
        <v>41</v>
      </c>
      <c r="C26" s="77" t="s">
        <v>42</v>
      </c>
      <c r="D26" s="77"/>
    </row>
    <row r="27" spans="1:4" ht="25.5" x14ac:dyDescent="0.2">
      <c r="A27" s="83">
        <v>3.02</v>
      </c>
      <c r="B27" s="84" t="s">
        <v>43</v>
      </c>
      <c r="C27" s="77" t="s">
        <v>26</v>
      </c>
      <c r="D27" s="77"/>
    </row>
    <row r="28" spans="1:4" ht="25.5" x14ac:dyDescent="0.2">
      <c r="A28" s="83">
        <v>3.03</v>
      </c>
      <c r="B28" s="85" t="s">
        <v>44</v>
      </c>
      <c r="C28" s="78" t="s">
        <v>26</v>
      </c>
      <c r="D28" s="78"/>
    </row>
    <row r="29" spans="1:4" ht="38.25" x14ac:dyDescent="0.2">
      <c r="A29" s="83">
        <v>3.04</v>
      </c>
      <c r="B29" s="85" t="s">
        <v>45</v>
      </c>
      <c r="C29" s="78" t="s">
        <v>26</v>
      </c>
      <c r="D29" s="78"/>
    </row>
    <row r="30" spans="1:4" ht="13.5" x14ac:dyDescent="0.2">
      <c r="A30" s="83">
        <v>3.05</v>
      </c>
      <c r="B30" s="85" t="s">
        <v>46</v>
      </c>
      <c r="C30" s="78" t="s">
        <v>26</v>
      </c>
      <c r="D30" s="77"/>
    </row>
    <row r="31" spans="1:4" ht="51" x14ac:dyDescent="0.2">
      <c r="A31" s="83">
        <v>3.06</v>
      </c>
      <c r="B31" s="84" t="s">
        <v>47</v>
      </c>
      <c r="C31" s="77" t="s">
        <v>38</v>
      </c>
      <c r="D31" s="77"/>
    </row>
    <row r="32" spans="1:4" ht="13.5" x14ac:dyDescent="0.2">
      <c r="A32" s="81">
        <v>4</v>
      </c>
      <c r="B32" s="82" t="s">
        <v>48</v>
      </c>
      <c r="C32" s="76"/>
      <c r="D32" s="76"/>
    </row>
    <row r="33" spans="1:4" ht="38.25" x14ac:dyDescent="0.2">
      <c r="A33" s="83">
        <v>4.01</v>
      </c>
      <c r="B33" s="84" t="s">
        <v>49</v>
      </c>
      <c r="C33" s="77" t="s">
        <v>36</v>
      </c>
      <c r="D33" s="77"/>
    </row>
    <row r="34" spans="1:4" ht="13.5" x14ac:dyDescent="0.2">
      <c r="A34" s="83">
        <v>4.0199999999999996</v>
      </c>
      <c r="B34" s="84" t="s">
        <v>50</v>
      </c>
      <c r="C34" s="77" t="s">
        <v>38</v>
      </c>
      <c r="D34" s="78"/>
    </row>
    <row r="35" spans="1:4" ht="13.5" x14ac:dyDescent="0.2">
      <c r="A35" s="81">
        <v>5</v>
      </c>
      <c r="B35" s="82" t="s">
        <v>51</v>
      </c>
      <c r="C35" s="76"/>
      <c r="D35" s="76"/>
    </row>
    <row r="36" spans="1:4" ht="25.5" x14ac:dyDescent="0.2">
      <c r="A36" s="83">
        <v>5.01</v>
      </c>
      <c r="B36" s="84" t="s">
        <v>52</v>
      </c>
      <c r="C36" s="77" t="s">
        <v>53</v>
      </c>
      <c r="D36" s="77"/>
    </row>
    <row r="37" spans="1:4" ht="13.5" x14ac:dyDescent="0.2">
      <c r="A37" s="83">
        <v>5.0199999999999996</v>
      </c>
      <c r="B37" s="84" t="s">
        <v>54</v>
      </c>
      <c r="C37" s="77" t="s">
        <v>55</v>
      </c>
      <c r="D37" s="77"/>
    </row>
    <row r="38" spans="1:4" ht="15.6" customHeight="1" x14ac:dyDescent="0.2">
      <c r="A38" s="83">
        <v>5.03</v>
      </c>
      <c r="B38" s="84" t="s">
        <v>56</v>
      </c>
      <c r="C38" s="77" t="s">
        <v>53</v>
      </c>
      <c r="D38" s="77"/>
    </row>
    <row r="39" spans="1:4" ht="25.5" x14ac:dyDescent="0.2">
      <c r="A39" s="83">
        <v>5.04</v>
      </c>
      <c r="B39" s="84" t="s">
        <v>57</v>
      </c>
      <c r="C39" s="77" t="s">
        <v>53</v>
      </c>
      <c r="D39" s="77"/>
    </row>
  </sheetData>
  <sheetProtection selectLockedCells="1"/>
  <mergeCells count="1">
    <mergeCell ref="C3:C4"/>
  </mergeCells>
  <phoneticPr fontId="8" type="noConversion"/>
  <dataValidations count="6">
    <dataValidation type="list" allowBlank="1" showInputMessage="1" showErrorMessage="1" sqref="C38:C39 C36" xr:uid="{0F84C3E5-AFD2-4189-B36E-850B4B7A6C7A}">
      <formula1>"Frauscher Standard,Customer Standard"</formula1>
    </dataValidation>
    <dataValidation type="list" allowBlank="1" showInputMessage="1" showErrorMessage="1" sqref="C37" xr:uid="{35BC494E-6801-4669-94E9-0FC6B39AB445}">
      <formula1>"A2 Size,A3 Size"</formula1>
    </dataValidation>
    <dataValidation type="list" allowBlank="1" showInputMessage="1" showErrorMessage="1" sqref="C22 C24 C34 C27:C31 C13:C14" xr:uid="{A366D902-21FA-4F45-890F-CC2FD92112B5}">
      <formula1>"Yes - Details Available in Remarks,No"</formula1>
    </dataValidation>
    <dataValidation type="list" allowBlank="1" showInputMessage="1" showErrorMessage="1" sqref="C12:C14" xr:uid="{4B2F3E13-F1A6-44C6-A98E-984287EAE79C}">
      <formula1>"24V,230V"</formula1>
    </dataValidation>
    <dataValidation type="list" allowBlank="1" showInputMessage="1" showErrorMessage="1" sqref="C15" xr:uid="{F1AFD9B3-F76B-483A-972E-69FEA0D21A98}">
      <formula1>"Frauscher Standarad, Refer remarks"</formula1>
    </dataValidation>
    <dataValidation type="list" allowBlank="1" showInputMessage="1" showErrorMessage="1" sqref="C15" xr:uid="{20EFFE45-B13A-4482-A158-960170109DC1}">
      <formula1>"Frauscher Standard , Refer remarks"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471AE6CB-A878-4209-9043-192D5018A1FA}">
          <x14:formula1>
            <xm:f>'DD List'!$B$56:$B$59</xm:f>
          </x14:formula1>
          <xm:sqref>C23:C24 C20:C21</xm:sqref>
        </x14:dataValidation>
        <x14:dataValidation type="list" allowBlank="1" showInputMessage="1" showErrorMessage="1" xr:uid="{C3517539-AF58-4FD3-8354-6D40555C8237}">
          <x14:formula1>
            <xm:f>'DD List'!$F$27:$F$28</xm:f>
          </x14:formula1>
          <xm:sqref>C10</xm:sqref>
        </x14:dataValidation>
        <x14:dataValidation type="list" allowBlank="1" showInputMessage="1" showErrorMessage="1" xr:uid="{07FDDAFA-5383-448A-BC62-F08E84DE54FE}">
          <x14:formula1>
            <xm:f>'DD List'!$F$30:$F$31</xm:f>
          </x14:formula1>
          <xm:sqref>C11</xm:sqref>
        </x14:dataValidation>
        <x14:dataValidation type="list" allowBlank="1" showInputMessage="1" showErrorMessage="1" xr:uid="{45C54B61-4BD2-44F9-8C89-79976B1E4F1F}">
          <x14:formula1>
            <xm:f>'DD List'!$J$22:$J$25</xm:f>
          </x14:formula1>
          <xm:sqref>C26</xm:sqref>
        </x14:dataValidation>
        <x14:dataValidation type="list" allowBlank="1" showInputMessage="1" showErrorMessage="1" xr:uid="{78232BD9-0BA9-40CA-972B-FC1714E20DF0}">
          <x14:formula1>
            <xm:f>'DD List'!$F$76:$F$79</xm:f>
          </x14:formula1>
          <xm:sqref>C33</xm:sqref>
        </x14:dataValidation>
        <x14:dataValidation type="list" allowBlank="1" showInputMessage="1" showErrorMessage="1" xr:uid="{4FF83259-27FF-46BD-A6CF-0D4576384898}">
          <x14:formula1>
            <xm:f>'DD List'!$B$44:$B$54</xm:f>
          </x14:formula1>
          <xm:sqref>C19</xm:sqref>
        </x14:dataValidation>
        <x14:dataValidation type="list" allowBlank="1" showInputMessage="1" showErrorMessage="1" xr:uid="{8E7DB6E3-CE81-441C-B972-421DC207FBD2}">
          <x14:formula1>
            <xm:f>'DD List'!$B$24:$B$31</xm:f>
          </x14:formula1>
          <xm:sqref>C8</xm:sqref>
        </x14:dataValidation>
        <x14:dataValidation type="list" allowBlank="1" showInputMessage="1" showErrorMessage="1" xr:uid="{0A242CE7-47ED-4394-8026-E105BFED08A7}">
          <x14:formula1>
            <xm:f>'DD List'!$B$70:$B$73</xm:f>
          </x14:formula1>
          <xm:sqref>C24</xm:sqref>
        </x14:dataValidation>
        <x14:dataValidation type="list" allowBlank="1" showInputMessage="1" showErrorMessage="1" xr:uid="{328876F3-F77E-4332-AE5F-8B08D6602D77}">
          <x14:formula1>
            <xm:f>'DD List'!$B$65:$B$68</xm:f>
          </x14:formula1>
          <xm:sqref>C9:C14</xm:sqref>
        </x14:dataValidation>
        <x14:dataValidation type="list" allowBlank="1" showInputMessage="1" showErrorMessage="1" xr:uid="{17BCEFE2-2139-462E-8A40-649318C5528F}">
          <x14:formula1>
            <xm:f>'DD List'!$J$73:$J$74</xm:f>
          </x14:formula1>
          <xm:sqref>C15</xm:sqref>
        </x14:dataValidation>
        <x14:dataValidation type="list" allowBlank="1" showInputMessage="1" showErrorMessage="1" xr:uid="{ABD75DEB-0F5E-4A6C-9371-4C6A4844E390}">
          <x14:formula1>
            <xm:f>'DD List'!$J$90:$J$94</xm:f>
          </x14:formula1>
          <xm:sqref>C17</xm:sqref>
        </x14:dataValidation>
        <x14:dataValidation type="list" allowBlank="1" showInputMessage="1" showErrorMessage="1" xr:uid="{4F5566A6-2E29-499D-91A4-F5CB17E6D6C1}">
          <x14:formula1>
            <xm:f>'DD List'!$J$76:$J$77</xm:f>
          </x14:formula1>
          <xm:sqref>C17</xm:sqref>
        </x14:dataValidation>
        <x14:dataValidation type="list" allowBlank="1" showInputMessage="1" showErrorMessage="1" xr:uid="{866B3F84-99A2-4EA4-AE42-5537C1FDAA2C}">
          <x14:formula1>
            <xm:f>'DD List'!$J$80:$J$88</xm:f>
          </x14:formula1>
          <xm:sqref>C16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1714F-E90E-40CF-A265-13162CED77D4}">
  <sheetPr>
    <pageSetUpPr fitToPage="1"/>
  </sheetPr>
  <dimension ref="A1:E50"/>
  <sheetViews>
    <sheetView showGridLines="0" topLeftCell="A7" zoomScale="115" zoomScaleNormal="115" workbookViewId="0">
      <selection activeCell="E17" sqref="E17"/>
    </sheetView>
  </sheetViews>
  <sheetFormatPr defaultColWidth="9.140625" defaultRowHeight="12.75" x14ac:dyDescent="0.2"/>
  <cols>
    <col min="1" max="1" width="7.28515625" style="103" customWidth="1"/>
    <col min="2" max="2" width="39.5703125" style="103" customWidth="1"/>
    <col min="3" max="3" width="41.140625" style="103" customWidth="1"/>
    <col min="4" max="4" width="39.5703125" style="103" customWidth="1"/>
    <col min="5" max="5" width="40.28515625" style="103" customWidth="1"/>
    <col min="6" max="16384" width="9.140625" style="103"/>
  </cols>
  <sheetData>
    <row r="1" spans="1:5" hidden="1" x14ac:dyDescent="0.2"/>
    <row r="2" spans="1:5" hidden="1" x14ac:dyDescent="0.2"/>
    <row r="3" spans="1:5" ht="27.75" hidden="1" x14ac:dyDescent="0.25">
      <c r="A3" s="104" t="s">
        <v>5</v>
      </c>
      <c r="B3" s="105"/>
      <c r="C3" s="120" t="s">
        <v>58</v>
      </c>
      <c r="D3" s="104" t="s">
        <v>7</v>
      </c>
      <c r="E3" s="106"/>
    </row>
    <row r="4" spans="1:5" ht="28.5" hidden="1" customHeight="1" x14ac:dyDescent="0.25">
      <c r="A4" s="104" t="s">
        <v>8</v>
      </c>
      <c r="B4" s="105"/>
      <c r="C4" s="120"/>
      <c r="D4" s="104" t="s">
        <v>9</v>
      </c>
      <c r="E4" s="106"/>
    </row>
    <row r="5" spans="1:5" ht="29.1" hidden="1" customHeight="1" x14ac:dyDescent="0.25">
      <c r="A5" s="107"/>
      <c r="B5" s="108"/>
      <c r="C5" s="108"/>
      <c r="D5" s="109" t="s">
        <v>59</v>
      </c>
    </row>
    <row r="6" spans="1:5" ht="16.5" hidden="1" x14ac:dyDescent="0.2">
      <c r="A6" s="110" t="s">
        <v>10</v>
      </c>
      <c r="B6" s="111" t="s">
        <v>11</v>
      </c>
      <c r="C6" s="111" t="s">
        <v>468</v>
      </c>
      <c r="D6" s="111" t="s">
        <v>12</v>
      </c>
      <c r="E6" s="111" t="s">
        <v>13</v>
      </c>
    </row>
    <row r="7" spans="1:5" ht="13.5" x14ac:dyDescent="0.25">
      <c r="A7" s="112">
        <v>1</v>
      </c>
      <c r="B7" s="113" t="s">
        <v>60</v>
      </c>
      <c r="C7" s="115"/>
      <c r="D7" s="114" t="s">
        <v>61</v>
      </c>
      <c r="E7" s="114"/>
    </row>
    <row r="8" spans="1:5" ht="13.5" x14ac:dyDescent="0.25">
      <c r="A8" s="112">
        <v>2</v>
      </c>
      <c r="B8" s="113" t="s">
        <v>62</v>
      </c>
      <c r="C8" s="115" t="s">
        <v>469</v>
      </c>
      <c r="D8" s="115" t="s">
        <v>63</v>
      </c>
      <c r="E8" s="114"/>
    </row>
    <row r="9" spans="1:5" ht="13.5" x14ac:dyDescent="0.25">
      <c r="A9" s="112">
        <v>3</v>
      </c>
      <c r="B9" s="113" t="s">
        <v>487</v>
      </c>
      <c r="C9" s="115" t="s">
        <v>498</v>
      </c>
      <c r="D9" s="115">
        <v>0</v>
      </c>
      <c r="E9" s="114"/>
    </row>
    <row r="10" spans="1:5" ht="13.5" x14ac:dyDescent="0.25">
      <c r="A10" s="112">
        <v>4</v>
      </c>
      <c r="B10" s="113" t="s">
        <v>488</v>
      </c>
      <c r="C10" s="115" t="s">
        <v>499</v>
      </c>
      <c r="D10" s="115">
        <v>0</v>
      </c>
      <c r="E10" s="114"/>
    </row>
    <row r="11" spans="1:5" ht="27" x14ac:dyDescent="0.25">
      <c r="A11" s="112">
        <v>5</v>
      </c>
      <c r="B11" s="113" t="s">
        <v>64</v>
      </c>
      <c r="C11" s="115" t="s">
        <v>500</v>
      </c>
      <c r="D11" s="115">
        <v>0</v>
      </c>
      <c r="E11" s="114"/>
    </row>
    <row r="12" spans="1:5" ht="27" x14ac:dyDescent="0.25">
      <c r="A12" s="112">
        <v>6</v>
      </c>
      <c r="B12" s="113" t="s">
        <v>65</v>
      </c>
      <c r="C12" s="115" t="s">
        <v>501</v>
      </c>
      <c r="D12" s="115">
        <v>1</v>
      </c>
      <c r="E12" s="114"/>
    </row>
    <row r="13" spans="1:5" ht="13.5" x14ac:dyDescent="0.25">
      <c r="A13" s="112">
        <v>7</v>
      </c>
      <c r="B13" s="113" t="s">
        <v>66</v>
      </c>
      <c r="C13" s="115" t="s">
        <v>502</v>
      </c>
      <c r="D13" s="115">
        <v>0</v>
      </c>
      <c r="E13" s="114"/>
    </row>
    <row r="14" spans="1:5" ht="13.5" x14ac:dyDescent="0.25">
      <c r="A14" s="112">
        <v>8</v>
      </c>
      <c r="B14" s="113" t="s">
        <v>67</v>
      </c>
      <c r="C14" s="115" t="s">
        <v>503</v>
      </c>
      <c r="D14" s="115" t="s">
        <v>484</v>
      </c>
      <c r="E14" s="114"/>
    </row>
    <row r="15" spans="1:5" ht="13.5" x14ac:dyDescent="0.25">
      <c r="A15" s="112">
        <v>9</v>
      </c>
      <c r="B15" s="113" t="s">
        <v>68</v>
      </c>
      <c r="C15" s="115"/>
      <c r="D15" s="114"/>
      <c r="E15" s="114"/>
    </row>
    <row r="16" spans="1:5" ht="13.5" x14ac:dyDescent="0.25">
      <c r="A16" s="112">
        <v>10</v>
      </c>
      <c r="B16" s="113" t="s">
        <v>70</v>
      </c>
      <c r="C16" s="115"/>
      <c r="D16" s="114"/>
      <c r="E16" s="114"/>
    </row>
    <row r="17" spans="1:5" ht="13.5" x14ac:dyDescent="0.25">
      <c r="A17" s="112">
        <v>11</v>
      </c>
      <c r="B17" s="113" t="s">
        <v>71</v>
      </c>
      <c r="C17" s="115"/>
      <c r="D17" s="114"/>
      <c r="E17" s="114"/>
    </row>
    <row r="18" spans="1:5" ht="27" x14ac:dyDescent="0.25">
      <c r="A18" s="112">
        <v>12</v>
      </c>
      <c r="B18" s="113" t="s">
        <v>73</v>
      </c>
      <c r="C18" s="115" t="s">
        <v>504</v>
      </c>
      <c r="D18" s="115" t="s">
        <v>74</v>
      </c>
      <c r="E18" s="114"/>
    </row>
    <row r="19" spans="1:5" ht="27" x14ac:dyDescent="0.25">
      <c r="A19" s="112">
        <v>13</v>
      </c>
      <c r="B19" s="113" t="s">
        <v>406</v>
      </c>
      <c r="C19" s="115" t="s">
        <v>505</v>
      </c>
      <c r="D19" s="114" t="s">
        <v>478</v>
      </c>
      <c r="E19" s="114"/>
    </row>
    <row r="20" spans="1:5" ht="13.5" x14ac:dyDescent="0.25">
      <c r="A20" s="112">
        <v>14</v>
      </c>
      <c r="B20" s="113" t="s">
        <v>75</v>
      </c>
      <c r="C20" s="115"/>
      <c r="D20" s="115" t="s">
        <v>76</v>
      </c>
      <c r="E20" s="114"/>
    </row>
    <row r="21" spans="1:5" ht="40.5" x14ac:dyDescent="0.25">
      <c r="A21" s="112">
        <v>15</v>
      </c>
      <c r="B21" s="113" t="s">
        <v>77</v>
      </c>
      <c r="C21" s="115" t="s">
        <v>506</v>
      </c>
      <c r="D21" s="115" t="s">
        <v>78</v>
      </c>
      <c r="E21" s="114"/>
    </row>
    <row r="22" spans="1:5" ht="13.5" x14ac:dyDescent="0.25">
      <c r="A22" s="112">
        <v>16</v>
      </c>
      <c r="B22" s="113" t="s">
        <v>79</v>
      </c>
      <c r="C22" s="115" t="s">
        <v>507</v>
      </c>
      <c r="D22" s="115" t="s">
        <v>80</v>
      </c>
      <c r="E22" s="114"/>
    </row>
    <row r="23" spans="1:5" ht="27.95" customHeight="1" x14ac:dyDescent="0.25">
      <c r="A23" s="112">
        <v>17</v>
      </c>
      <c r="B23" s="113" t="s">
        <v>402</v>
      </c>
      <c r="C23" s="115" t="s">
        <v>508</v>
      </c>
      <c r="D23" s="115" t="s">
        <v>81</v>
      </c>
      <c r="E23" s="114"/>
    </row>
    <row r="24" spans="1:5" ht="13.5" x14ac:dyDescent="0.25">
      <c r="A24" s="112">
        <v>18</v>
      </c>
      <c r="B24" s="113" t="s">
        <v>405</v>
      </c>
      <c r="C24" s="115" t="s">
        <v>509</v>
      </c>
      <c r="D24" s="114" t="s">
        <v>474</v>
      </c>
      <c r="E24" s="114"/>
    </row>
    <row r="25" spans="1:5" ht="28.5" customHeight="1" x14ac:dyDescent="0.25">
      <c r="A25" s="112">
        <v>19</v>
      </c>
      <c r="B25" s="113" t="s">
        <v>403</v>
      </c>
      <c r="C25" s="115" t="s">
        <v>510</v>
      </c>
      <c r="D25" s="115" t="s">
        <v>81</v>
      </c>
      <c r="E25" s="114"/>
    </row>
    <row r="26" spans="1:5" ht="13.5" x14ac:dyDescent="0.25">
      <c r="A26" s="112">
        <v>20</v>
      </c>
      <c r="B26" s="113" t="s">
        <v>404</v>
      </c>
      <c r="C26" s="115" t="s">
        <v>511</v>
      </c>
      <c r="D26" s="114" t="s">
        <v>474</v>
      </c>
      <c r="E26" s="114"/>
    </row>
    <row r="27" spans="1:5" ht="13.5" x14ac:dyDescent="0.25">
      <c r="A27" s="112">
        <v>21</v>
      </c>
      <c r="B27" s="113" t="s">
        <v>82</v>
      </c>
      <c r="C27" s="115" t="s">
        <v>512</v>
      </c>
      <c r="D27" s="115" t="s">
        <v>83</v>
      </c>
      <c r="E27" s="114"/>
    </row>
    <row r="28" spans="1:5" ht="13.5" x14ac:dyDescent="0.25">
      <c r="A28" s="112">
        <v>22</v>
      </c>
      <c r="B28" s="113" t="s">
        <v>84</v>
      </c>
      <c r="C28" s="115" t="s">
        <v>513</v>
      </c>
      <c r="D28" s="115" t="s">
        <v>83</v>
      </c>
      <c r="E28" s="114"/>
    </row>
    <row r="29" spans="1:5" ht="13.5" x14ac:dyDescent="0.25">
      <c r="A29" s="112">
        <v>23</v>
      </c>
      <c r="B29" s="113" t="s">
        <v>85</v>
      </c>
      <c r="C29" s="115"/>
      <c r="D29" s="114"/>
      <c r="E29" s="114"/>
    </row>
    <row r="30" spans="1:5" ht="13.5" x14ac:dyDescent="0.25">
      <c r="A30" s="112">
        <v>24</v>
      </c>
      <c r="B30" s="113" t="s">
        <v>489</v>
      </c>
      <c r="C30" s="115" t="s">
        <v>514</v>
      </c>
      <c r="D30" s="115">
        <v>500</v>
      </c>
      <c r="E30" s="114"/>
    </row>
    <row r="31" spans="1:5" ht="13.5" x14ac:dyDescent="0.25">
      <c r="A31" s="112">
        <v>25</v>
      </c>
      <c r="B31" s="113" t="s">
        <v>490</v>
      </c>
      <c r="C31" s="115" t="s">
        <v>515</v>
      </c>
      <c r="D31" s="115">
        <v>100</v>
      </c>
      <c r="E31" s="114"/>
    </row>
    <row r="32" spans="1:5" ht="27" x14ac:dyDescent="0.25">
      <c r="A32" s="112">
        <v>26</v>
      </c>
      <c r="B32" s="113" t="s">
        <v>86</v>
      </c>
      <c r="C32" s="115" t="s">
        <v>516</v>
      </c>
      <c r="D32" s="115" t="s">
        <v>87</v>
      </c>
      <c r="E32" s="114"/>
    </row>
    <row r="33" spans="1:5" ht="13.5" x14ac:dyDescent="0.25">
      <c r="A33" s="112">
        <v>27</v>
      </c>
      <c r="B33" s="113" t="s">
        <v>491</v>
      </c>
      <c r="C33" s="115" t="s">
        <v>517</v>
      </c>
      <c r="D33" s="114">
        <v>80</v>
      </c>
      <c r="E33" s="114"/>
    </row>
    <row r="34" spans="1:5" ht="13.5" x14ac:dyDescent="0.25">
      <c r="A34" s="112">
        <v>28</v>
      </c>
      <c r="B34" s="113" t="s">
        <v>492</v>
      </c>
      <c r="C34" s="115" t="s">
        <v>518</v>
      </c>
      <c r="D34" s="114" t="s">
        <v>470</v>
      </c>
      <c r="E34" s="114"/>
    </row>
    <row r="35" spans="1:5" ht="27.6" customHeight="1" x14ac:dyDescent="0.25">
      <c r="A35" s="112">
        <v>29</v>
      </c>
      <c r="B35" s="113" t="s">
        <v>493</v>
      </c>
      <c r="C35" s="115" t="s">
        <v>519</v>
      </c>
      <c r="D35" s="115">
        <v>10</v>
      </c>
      <c r="E35" s="114"/>
    </row>
    <row r="36" spans="1:5" ht="13.5" x14ac:dyDescent="0.25">
      <c r="A36" s="112">
        <v>30</v>
      </c>
      <c r="B36" s="113" t="s">
        <v>88</v>
      </c>
      <c r="C36" s="115"/>
      <c r="D36" s="114" t="s">
        <v>89</v>
      </c>
      <c r="E36" s="114"/>
    </row>
    <row r="37" spans="1:5" ht="13.5" x14ac:dyDescent="0.25">
      <c r="A37" s="112">
        <v>31</v>
      </c>
      <c r="B37" s="113" t="s">
        <v>90</v>
      </c>
      <c r="C37" s="115"/>
      <c r="D37" s="114"/>
      <c r="E37" s="114"/>
    </row>
    <row r="38" spans="1:5" ht="40.5" x14ac:dyDescent="0.25">
      <c r="A38" s="112">
        <v>32</v>
      </c>
      <c r="B38" s="113" t="s">
        <v>91</v>
      </c>
      <c r="C38" s="115" t="s">
        <v>520</v>
      </c>
      <c r="D38" s="115" t="s">
        <v>92</v>
      </c>
      <c r="E38" s="114"/>
    </row>
    <row r="39" spans="1:5" ht="13.5" x14ac:dyDescent="0.25">
      <c r="A39" s="112">
        <v>33</v>
      </c>
      <c r="B39" s="113" t="s">
        <v>93</v>
      </c>
      <c r="C39" s="115"/>
      <c r="D39" s="114" t="s">
        <v>89</v>
      </c>
      <c r="E39" s="114"/>
    </row>
    <row r="40" spans="1:5" ht="27" x14ac:dyDescent="0.25">
      <c r="A40" s="112">
        <v>34</v>
      </c>
      <c r="B40" s="113" t="s">
        <v>94</v>
      </c>
      <c r="C40" s="115" t="s">
        <v>521</v>
      </c>
      <c r="D40" s="115" t="s">
        <v>95</v>
      </c>
      <c r="E40" s="114"/>
    </row>
    <row r="41" spans="1:5" ht="27" x14ac:dyDescent="0.25">
      <c r="A41" s="112">
        <v>35</v>
      </c>
      <c r="B41" s="113" t="s">
        <v>494</v>
      </c>
      <c r="C41" s="115" t="s">
        <v>522</v>
      </c>
      <c r="D41" s="114">
        <v>10</v>
      </c>
      <c r="E41" s="114"/>
    </row>
    <row r="42" spans="1:5" ht="40.5" x14ac:dyDescent="0.25">
      <c r="A42" s="112">
        <v>36</v>
      </c>
      <c r="B42" s="113" t="s">
        <v>96</v>
      </c>
      <c r="C42" s="115" t="s">
        <v>523</v>
      </c>
      <c r="D42" s="115" t="s">
        <v>97</v>
      </c>
      <c r="E42" s="114"/>
    </row>
    <row r="43" spans="1:5" ht="27" x14ac:dyDescent="0.25">
      <c r="A43" s="112">
        <v>37</v>
      </c>
      <c r="B43" s="113" t="s">
        <v>495</v>
      </c>
      <c r="C43" s="115" t="s">
        <v>524</v>
      </c>
      <c r="D43" s="115">
        <v>2600</v>
      </c>
      <c r="E43" s="114"/>
    </row>
    <row r="44" spans="1:5" ht="27" x14ac:dyDescent="0.25">
      <c r="A44" s="112">
        <v>38</v>
      </c>
      <c r="B44" s="113" t="s">
        <v>496</v>
      </c>
      <c r="C44" s="115" t="s">
        <v>525</v>
      </c>
      <c r="D44" s="115">
        <v>0</v>
      </c>
      <c r="E44" s="114"/>
    </row>
    <row r="45" spans="1:5" ht="27" x14ac:dyDescent="0.25">
      <c r="A45" s="112">
        <v>39</v>
      </c>
      <c r="B45" s="113" t="s">
        <v>497</v>
      </c>
      <c r="C45" s="115" t="s">
        <v>526</v>
      </c>
      <c r="D45" s="115">
        <v>1800</v>
      </c>
      <c r="E45" s="114"/>
    </row>
    <row r="46" spans="1:5" ht="27" x14ac:dyDescent="0.25">
      <c r="A46" s="112">
        <v>40</v>
      </c>
      <c r="B46" s="113" t="s">
        <v>98</v>
      </c>
      <c r="C46" s="115"/>
      <c r="D46" s="114" t="s">
        <v>26</v>
      </c>
      <c r="E46" s="114"/>
    </row>
    <row r="47" spans="1:5" ht="27" x14ac:dyDescent="0.25">
      <c r="A47" s="112">
        <v>41</v>
      </c>
      <c r="B47" s="113" t="s">
        <v>99</v>
      </c>
      <c r="C47" s="115"/>
      <c r="D47" s="114" t="s">
        <v>26</v>
      </c>
      <c r="E47" s="114"/>
    </row>
    <row r="48" spans="1:5" ht="27" x14ac:dyDescent="0.25">
      <c r="A48" s="112">
        <v>42</v>
      </c>
      <c r="B48" s="116" t="s">
        <v>100</v>
      </c>
      <c r="C48" s="115"/>
      <c r="D48" s="114" t="s">
        <v>101</v>
      </c>
      <c r="E48" s="117"/>
    </row>
    <row r="49" spans="1:5" ht="13.5" x14ac:dyDescent="0.25">
      <c r="A49" s="118">
        <v>43</v>
      </c>
      <c r="B49" s="113" t="s">
        <v>407</v>
      </c>
      <c r="C49" s="115" t="s">
        <v>527</v>
      </c>
      <c r="D49" s="114" t="s">
        <v>481</v>
      </c>
      <c r="E49" s="114"/>
    </row>
    <row r="50" spans="1:5" ht="13.5" x14ac:dyDescent="0.25">
      <c r="A50" s="118">
        <v>44</v>
      </c>
      <c r="B50" s="116" t="s">
        <v>485</v>
      </c>
      <c r="C50" s="115" t="s">
        <v>528</v>
      </c>
      <c r="D50" s="114" t="s">
        <v>486</v>
      </c>
      <c r="E50" s="117"/>
    </row>
  </sheetData>
  <sheetProtection selectLockedCells="1"/>
  <mergeCells count="1">
    <mergeCell ref="C3:C4"/>
  </mergeCells>
  <dataValidations count="8">
    <dataValidation type="list" allowBlank="1" showInputMessage="1" showErrorMessage="1" sqref="D7" xr:uid="{EABD69B6-43EA-4905-A5D9-431ECBF6659A}">
      <formula1>"Approved , Tentative"</formula1>
    </dataValidation>
    <dataValidation type="list" allowBlank="1" showInputMessage="1" showErrorMessage="1" sqref="D33" xr:uid="{918BB4D1-F0C8-45F9-9F3B-0156FBC2AC80}">
      <formula1>"10,40,80,160"</formula1>
    </dataValidation>
    <dataValidation type="list" allowBlank="1" showInputMessage="1" showErrorMessage="1" sqref="D36:D37 D39" xr:uid="{5640BF0B-8411-4D01-99E3-8D5489131366}">
      <formula1>"Yes,No"</formula1>
    </dataValidation>
    <dataValidation type="list" allowBlank="1" showInputMessage="1" showErrorMessage="1" sqref="D41" xr:uid="{0FA8E768-260D-4182-B7A8-0C4056A587A0}">
      <formula1>"10 , 30"</formula1>
    </dataValidation>
    <dataValidation type="list" allowBlank="1" showInputMessage="1" showErrorMessage="1" sqref="D47" xr:uid="{F9CED921-FAA3-40B6-B2E7-9418A97A4440}">
      <formula1>"Yes Refer DP &amp;TS table for the DT Mode details,No"</formula1>
    </dataValidation>
    <dataValidation type="list" allowBlank="1" showInputMessage="1" showErrorMessage="1" sqref="D48" xr:uid="{16BB61C0-36D8-4724-9CB2-31E3B5CAC44F}">
      <formula1>"Yes refer remarks for the FDS allocation details,No"</formula1>
    </dataValidation>
    <dataValidation type="list" allowBlank="1" showInputMessage="1" showErrorMessage="1" sqref="D46" xr:uid="{62724BB3-7E6D-4E92-9ABC-212EFB4B1ECA}">
      <formula1>"Yes refer remarks for the details required fro sync,No"</formula1>
    </dataValidation>
    <dataValidation type="list" allowBlank="1" showInputMessage="1" showErrorMessage="1" sqref="D50" xr:uid="{66D28710-C46C-4EA4-8ED0-A6111BC4124F}">
      <formula1>"Yes: Mention Project number in remarks, No"</formula1>
    </dataValidation>
  </dataValidations>
  <pageMargins left="0.7" right="0.7" top="0.75" bottom="0.75" header="0.3" footer="0.3"/>
  <pageSetup paperSize="9" scale="52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D00E97A1-CF6C-4FA4-AA64-64F52FCE76DA}">
          <x14:formula1>
            <xm:f>'DD List'!$J$45:$J$46</xm:f>
          </x14:formula1>
          <xm:sqref>D15:D17</xm:sqref>
        </x14:dataValidation>
        <x14:dataValidation type="list" allowBlank="1" showInputMessage="1" showErrorMessage="1" xr:uid="{A8AECED9-7068-4B10-8FD4-3FE469130E75}">
          <x14:formula1>
            <xm:f>'DD List'!$J$51:$J$52</xm:f>
          </x14:formula1>
          <xm:sqref>D29</xm:sqref>
        </x14:dataValidation>
        <x14:dataValidation type="list" allowBlank="1" showInputMessage="1" showErrorMessage="1" xr:uid="{C70CDF9D-935B-4198-810E-14CB6FA9E829}">
          <x14:formula1>
            <xm:f>'DD List'!$J$56:$J$57</xm:f>
          </x14:formula1>
          <xm:sqref>D24 D26</xm:sqref>
        </x14:dataValidation>
        <x14:dataValidation type="list" allowBlank="1" showInputMessage="1" showErrorMessage="1" xr:uid="{5231194C-F640-4AD7-A467-4BF4E6ED6964}">
          <x14:formula1>
            <xm:f>'DD List'!$J$59:$J$60</xm:f>
          </x14:formula1>
          <xm:sqref>D19</xm:sqref>
        </x14:dataValidation>
        <x14:dataValidation type="list" allowBlank="1" showInputMessage="1" showErrorMessage="1" xr:uid="{55080117-EDDA-43B7-9D6E-837F524C61BE}">
          <x14:formula1>
            <xm:f>'DD List'!$J$62:$J$63</xm:f>
          </x14:formula1>
          <xm:sqref>D34</xm:sqref>
        </x14:dataValidation>
        <x14:dataValidation type="list" allowBlank="1" showInputMessage="1" showErrorMessage="1" xr:uid="{51538201-49D9-4591-8691-D465DF2B9AFF}">
          <x14:formula1>
            <xm:f>'DD List'!$J$64:$J$67</xm:f>
          </x14:formula1>
          <xm:sqref>D49</xm:sqref>
        </x14:dataValidation>
        <x14:dataValidation type="list" allowBlank="1" showInputMessage="1" showErrorMessage="1" xr:uid="{570642BD-F538-4400-B62C-BED1B33823F1}">
          <x14:formula1>
            <xm:f>'DD List'!$J$38:$J$39</xm:f>
          </x14:formula1>
          <xm:sqref>D28</xm:sqref>
        </x14:dataValidation>
        <x14:dataValidation type="list" allowBlank="1" showInputMessage="1" showErrorMessage="1" xr:uid="{33013590-D27D-478A-B94C-7560C2E61922}">
          <x14:formula1>
            <xm:f>'DD List'!$J$70:$J$71</xm:f>
          </x14:formula1>
          <xm:sqref>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721E-6BE4-4D50-96F9-7D02C46EC3A3}">
  <dimension ref="A1:N300"/>
  <sheetViews>
    <sheetView showGridLines="0" workbookViewId="0">
      <selection activeCell="D5" sqref="D5"/>
    </sheetView>
  </sheetViews>
  <sheetFormatPr defaultRowHeight="12.75" x14ac:dyDescent="0.2"/>
  <cols>
    <col min="1" max="1" width="5.85546875" bestFit="1" customWidth="1"/>
    <col min="2" max="2" width="22.7109375" bestFit="1" customWidth="1"/>
    <col min="3" max="3" width="14.140625" bestFit="1" customWidth="1"/>
    <col min="4" max="4" width="14.140625" customWidth="1"/>
    <col min="5" max="5" width="55.5703125" customWidth="1"/>
    <col min="6" max="6" width="15.42578125" bestFit="1" customWidth="1"/>
    <col min="7" max="7" width="26.85546875" bestFit="1" customWidth="1"/>
    <col min="8" max="8" width="15.42578125" customWidth="1"/>
    <col min="9" max="9" width="30.28515625" bestFit="1" customWidth="1"/>
    <col min="11" max="11" width="6.140625" bestFit="1" customWidth="1"/>
    <col min="12" max="12" width="11.5703125" bestFit="1" customWidth="1"/>
    <col min="13" max="13" width="16.28515625" bestFit="1" customWidth="1"/>
  </cols>
  <sheetData>
    <row r="1" spans="1:14" ht="16.5" x14ac:dyDescent="0.2">
      <c r="A1" s="121" t="s">
        <v>102</v>
      </c>
      <c r="B1" s="121" t="s">
        <v>103</v>
      </c>
      <c r="C1" s="123" t="s">
        <v>104</v>
      </c>
      <c r="D1" s="124"/>
      <c r="E1" s="121" t="s">
        <v>105</v>
      </c>
      <c r="F1" s="121" t="s">
        <v>106</v>
      </c>
      <c r="G1" s="121" t="s">
        <v>408</v>
      </c>
      <c r="H1" s="121" t="s">
        <v>529</v>
      </c>
      <c r="I1" s="153" t="s">
        <v>409</v>
      </c>
      <c r="K1" s="121" t="s">
        <v>102</v>
      </c>
      <c r="L1" s="121" t="s">
        <v>410</v>
      </c>
      <c r="M1" s="121" t="s">
        <v>411</v>
      </c>
      <c r="N1" s="121" t="s">
        <v>412</v>
      </c>
    </row>
    <row r="2" spans="1:14" ht="16.5" x14ac:dyDescent="0.2">
      <c r="A2" s="122"/>
      <c r="B2" s="122"/>
      <c r="C2" s="98" t="s">
        <v>413</v>
      </c>
      <c r="D2" s="98" t="s">
        <v>414</v>
      </c>
      <c r="E2" s="122"/>
      <c r="F2" s="122"/>
      <c r="G2" s="122"/>
      <c r="H2" s="122"/>
      <c r="I2" s="154"/>
      <c r="K2" s="122"/>
      <c r="L2" s="122"/>
      <c r="M2" s="122"/>
      <c r="N2" s="122"/>
    </row>
    <row r="3" spans="1:14" x14ac:dyDescent="0.2">
      <c r="A3" s="99"/>
      <c r="B3" s="100" t="s">
        <v>540</v>
      </c>
      <c r="C3" s="100"/>
      <c r="D3" s="100"/>
      <c r="E3" s="100"/>
      <c r="F3" s="100"/>
      <c r="G3" s="100"/>
      <c r="H3" s="100"/>
      <c r="I3" s="100"/>
      <c r="K3" s="99"/>
      <c r="L3" s="99" t="s">
        <v>540</v>
      </c>
      <c r="M3" s="99"/>
      <c r="N3" s="99"/>
    </row>
    <row r="4" spans="1:14" x14ac:dyDescent="0.2">
      <c r="A4" s="99">
        <v>1</v>
      </c>
      <c r="B4" s="100" t="s">
        <v>415</v>
      </c>
      <c r="C4" s="100" t="s">
        <v>416</v>
      </c>
      <c r="D4" s="100" t="s">
        <v>417</v>
      </c>
      <c r="E4" s="100" t="s">
        <v>418</v>
      </c>
      <c r="F4" s="100" t="s">
        <v>108</v>
      </c>
      <c r="G4" s="100" t="s">
        <v>532</v>
      </c>
      <c r="H4" s="100" t="s">
        <v>530</v>
      </c>
      <c r="I4" s="100" t="s">
        <v>26</v>
      </c>
      <c r="K4" s="99">
        <v>1</v>
      </c>
      <c r="L4" s="99" t="s">
        <v>416</v>
      </c>
      <c r="M4" s="99" t="s">
        <v>419</v>
      </c>
      <c r="N4" s="99" t="s">
        <v>89</v>
      </c>
    </row>
    <row r="5" spans="1:14" x14ac:dyDescent="0.2">
      <c r="A5" s="99">
        <v>2</v>
      </c>
      <c r="B5" s="100" t="s">
        <v>420</v>
      </c>
      <c r="C5" s="100" t="s">
        <v>417</v>
      </c>
      <c r="D5" s="100" t="s">
        <v>421</v>
      </c>
      <c r="E5" s="100" t="s">
        <v>422</v>
      </c>
      <c r="F5" s="100" t="s">
        <v>108</v>
      </c>
      <c r="G5" s="100" t="s">
        <v>533</v>
      </c>
      <c r="H5" s="100" t="s">
        <v>530</v>
      </c>
      <c r="I5" s="100" t="s">
        <v>26</v>
      </c>
      <c r="K5" s="99">
        <v>2</v>
      </c>
      <c r="L5" s="99" t="s">
        <v>417</v>
      </c>
      <c r="M5" s="99" t="s">
        <v>419</v>
      </c>
      <c r="N5" s="99" t="s">
        <v>26</v>
      </c>
    </row>
    <row r="6" spans="1:14" x14ac:dyDescent="0.2">
      <c r="A6" s="99">
        <v>3</v>
      </c>
      <c r="B6" s="100" t="s">
        <v>423</v>
      </c>
      <c r="C6" s="100" t="s">
        <v>421</v>
      </c>
      <c r="D6" s="100" t="s">
        <v>424</v>
      </c>
      <c r="E6" s="100" t="s">
        <v>425</v>
      </c>
      <c r="F6" s="100" t="s">
        <v>108</v>
      </c>
      <c r="G6" s="100" t="s">
        <v>426</v>
      </c>
      <c r="H6" s="100"/>
      <c r="I6" s="100" t="s">
        <v>89</v>
      </c>
      <c r="K6" s="99">
        <v>3</v>
      </c>
      <c r="L6" s="99" t="s">
        <v>421</v>
      </c>
      <c r="M6" s="99" t="s">
        <v>419</v>
      </c>
      <c r="N6" s="99" t="s">
        <v>26</v>
      </c>
    </row>
    <row r="7" spans="1:14" x14ac:dyDescent="0.2">
      <c r="A7" s="99">
        <v>4</v>
      </c>
      <c r="B7" s="100" t="s">
        <v>427</v>
      </c>
      <c r="C7" s="100" t="s">
        <v>416</v>
      </c>
      <c r="D7" s="100" t="s">
        <v>421</v>
      </c>
      <c r="E7" s="100" t="s">
        <v>425</v>
      </c>
      <c r="F7" s="100" t="s">
        <v>428</v>
      </c>
      <c r="G7" s="100" t="s">
        <v>536</v>
      </c>
      <c r="H7" s="100" t="s">
        <v>531</v>
      </c>
      <c r="I7" s="100" t="s">
        <v>26</v>
      </c>
      <c r="K7" s="99">
        <v>4</v>
      </c>
      <c r="L7" s="99" t="s">
        <v>429</v>
      </c>
      <c r="M7" s="99" t="s">
        <v>419</v>
      </c>
      <c r="N7" s="99" t="s">
        <v>89</v>
      </c>
    </row>
    <row r="8" spans="1:14" x14ac:dyDescent="0.2">
      <c r="A8" s="99">
        <v>5</v>
      </c>
      <c r="B8" s="100" t="s">
        <v>430</v>
      </c>
      <c r="C8" s="100" t="s">
        <v>431</v>
      </c>
      <c r="D8" s="100" t="s">
        <v>432</v>
      </c>
      <c r="E8" s="100" t="s">
        <v>418</v>
      </c>
      <c r="F8" s="100" t="s">
        <v>108</v>
      </c>
      <c r="G8" s="100" t="s">
        <v>534</v>
      </c>
      <c r="H8" s="100" t="s">
        <v>530</v>
      </c>
      <c r="I8" s="100" t="s">
        <v>26</v>
      </c>
      <c r="K8" s="99">
        <v>5</v>
      </c>
      <c r="L8" s="99" t="s">
        <v>433</v>
      </c>
      <c r="M8" s="99" t="s">
        <v>419</v>
      </c>
      <c r="N8" s="99" t="s">
        <v>89</v>
      </c>
    </row>
    <row r="9" spans="1:14" x14ac:dyDescent="0.2">
      <c r="A9" s="99">
        <v>6</v>
      </c>
      <c r="B9" s="100" t="s">
        <v>434</v>
      </c>
      <c r="C9" s="100" t="s">
        <v>432</v>
      </c>
      <c r="D9" s="100" t="s">
        <v>435</v>
      </c>
      <c r="E9" s="100" t="s">
        <v>422</v>
      </c>
      <c r="F9" s="100" t="s">
        <v>108</v>
      </c>
      <c r="G9" s="100" t="s">
        <v>535</v>
      </c>
      <c r="H9" s="100" t="s">
        <v>530</v>
      </c>
      <c r="I9" s="100" t="s">
        <v>26</v>
      </c>
      <c r="K9" s="99">
        <v>6</v>
      </c>
      <c r="L9" s="99" t="s">
        <v>431</v>
      </c>
      <c r="M9" s="99" t="s">
        <v>436</v>
      </c>
      <c r="N9" s="99" t="s">
        <v>89</v>
      </c>
    </row>
    <row r="10" spans="1:14" x14ac:dyDescent="0.2">
      <c r="A10" s="99">
        <v>7</v>
      </c>
      <c r="B10" s="100" t="s">
        <v>437</v>
      </c>
      <c r="C10" s="100" t="s">
        <v>431</v>
      </c>
      <c r="D10" s="100" t="s">
        <v>435</v>
      </c>
      <c r="E10" s="100" t="s">
        <v>425</v>
      </c>
      <c r="F10" s="100" t="s">
        <v>428</v>
      </c>
      <c r="G10" s="100" t="s">
        <v>537</v>
      </c>
      <c r="H10" s="100" t="s">
        <v>531</v>
      </c>
      <c r="I10" s="100" t="s">
        <v>26</v>
      </c>
      <c r="K10" s="99">
        <v>7</v>
      </c>
      <c r="L10" s="99" t="s">
        <v>432</v>
      </c>
      <c r="M10" s="99" t="s">
        <v>436</v>
      </c>
      <c r="N10" s="99" t="s">
        <v>26</v>
      </c>
    </row>
    <row r="11" spans="1:14" x14ac:dyDescent="0.2">
      <c r="A11" s="99">
        <v>8</v>
      </c>
      <c r="B11" s="100" t="s">
        <v>415</v>
      </c>
      <c r="C11" s="100" t="s">
        <v>416</v>
      </c>
      <c r="D11" s="100" t="s">
        <v>417</v>
      </c>
      <c r="E11" s="100" t="s">
        <v>418</v>
      </c>
      <c r="F11" s="100" t="s">
        <v>108</v>
      </c>
      <c r="G11" s="100" t="s">
        <v>532</v>
      </c>
      <c r="H11" s="100" t="s">
        <v>530</v>
      </c>
      <c r="I11" s="100" t="s">
        <v>26</v>
      </c>
      <c r="K11" s="99">
        <v>8</v>
      </c>
      <c r="L11" s="99" t="s">
        <v>435</v>
      </c>
      <c r="M11" s="99" t="s">
        <v>436</v>
      </c>
      <c r="N11" s="99" t="s">
        <v>26</v>
      </c>
    </row>
    <row r="12" spans="1:14" x14ac:dyDescent="0.2">
      <c r="A12" s="100"/>
      <c r="B12" s="100"/>
      <c r="C12" s="100"/>
      <c r="D12" s="100"/>
      <c r="E12" s="100"/>
      <c r="F12" s="100"/>
      <c r="G12" s="100"/>
      <c r="H12" s="100"/>
      <c r="I12" s="100"/>
      <c r="K12" s="100"/>
      <c r="L12" s="100"/>
      <c r="M12" s="100"/>
      <c r="N12" s="100"/>
    </row>
    <row r="13" spans="1:14" x14ac:dyDescent="0.2">
      <c r="A13" s="99"/>
      <c r="B13" s="100" t="s">
        <v>541</v>
      </c>
      <c r="C13" s="100"/>
      <c r="D13" s="100"/>
      <c r="E13" s="100"/>
      <c r="F13" s="100"/>
      <c r="G13" s="100"/>
      <c r="H13" s="100"/>
      <c r="I13" s="100"/>
      <c r="K13" s="99"/>
      <c r="L13" s="99" t="s">
        <v>541</v>
      </c>
      <c r="M13" s="99"/>
      <c r="N13" s="99"/>
    </row>
    <row r="14" spans="1:14" x14ac:dyDescent="0.2">
      <c r="A14" s="99">
        <v>1</v>
      </c>
      <c r="B14" s="100" t="s">
        <v>415</v>
      </c>
      <c r="C14" s="100" t="s">
        <v>416</v>
      </c>
      <c r="D14" s="100" t="s">
        <v>417</v>
      </c>
      <c r="E14" s="100" t="s">
        <v>418</v>
      </c>
      <c r="F14" s="100" t="s">
        <v>108</v>
      </c>
      <c r="G14" s="100" t="s">
        <v>532</v>
      </c>
      <c r="H14" s="100" t="s">
        <v>530</v>
      </c>
      <c r="I14" s="100" t="s">
        <v>26</v>
      </c>
      <c r="K14" s="99">
        <v>1</v>
      </c>
      <c r="L14" s="99" t="s">
        <v>416</v>
      </c>
      <c r="M14" s="99" t="s">
        <v>419</v>
      </c>
      <c r="N14" s="99" t="s">
        <v>89</v>
      </c>
    </row>
    <row r="15" spans="1:14" x14ac:dyDescent="0.2">
      <c r="A15" s="99">
        <v>2</v>
      </c>
      <c r="B15" s="100" t="s">
        <v>420</v>
      </c>
      <c r="C15" s="100" t="s">
        <v>417</v>
      </c>
      <c r="D15" s="100" t="s">
        <v>421</v>
      </c>
      <c r="E15" s="100" t="s">
        <v>422</v>
      </c>
      <c r="F15" s="100" t="s">
        <v>108</v>
      </c>
      <c r="G15" s="100" t="s">
        <v>533</v>
      </c>
      <c r="H15" s="100" t="s">
        <v>530</v>
      </c>
      <c r="I15" s="100" t="s">
        <v>26</v>
      </c>
      <c r="K15" s="99">
        <v>2</v>
      </c>
      <c r="L15" s="99" t="s">
        <v>417</v>
      </c>
      <c r="M15" s="99" t="s">
        <v>419</v>
      </c>
      <c r="N15" s="99" t="s">
        <v>26</v>
      </c>
    </row>
    <row r="16" spans="1:14" x14ac:dyDescent="0.2">
      <c r="A16" s="99">
        <v>3</v>
      </c>
      <c r="B16" s="100" t="s">
        <v>423</v>
      </c>
      <c r="C16" s="100" t="s">
        <v>421</v>
      </c>
      <c r="D16" s="100" t="s">
        <v>424</v>
      </c>
      <c r="E16" s="100" t="s">
        <v>425</v>
      </c>
      <c r="F16" s="100" t="s">
        <v>108</v>
      </c>
      <c r="G16" s="100" t="s">
        <v>426</v>
      </c>
      <c r="H16" s="100"/>
      <c r="I16" s="100" t="s">
        <v>89</v>
      </c>
      <c r="K16" s="99">
        <v>3</v>
      </c>
      <c r="L16" s="99" t="s">
        <v>421</v>
      </c>
      <c r="M16" s="99" t="s">
        <v>419</v>
      </c>
      <c r="N16" s="99" t="s">
        <v>26</v>
      </c>
    </row>
    <row r="17" spans="1:14" x14ac:dyDescent="0.2">
      <c r="A17" s="99">
        <v>4</v>
      </c>
      <c r="B17" s="100" t="s">
        <v>427</v>
      </c>
      <c r="C17" s="100" t="s">
        <v>416</v>
      </c>
      <c r="D17" s="100" t="s">
        <v>421</v>
      </c>
      <c r="E17" s="100" t="s">
        <v>425</v>
      </c>
      <c r="F17" s="100" t="s">
        <v>428</v>
      </c>
      <c r="G17" s="100" t="s">
        <v>536</v>
      </c>
      <c r="H17" s="100" t="s">
        <v>531</v>
      </c>
      <c r="I17" s="100" t="s">
        <v>26</v>
      </c>
      <c r="K17" s="99">
        <v>4</v>
      </c>
      <c r="L17" s="99" t="s">
        <v>429</v>
      </c>
      <c r="M17" s="99" t="s">
        <v>419</v>
      </c>
      <c r="N17" s="99" t="s">
        <v>89</v>
      </c>
    </row>
    <row r="18" spans="1:14" x14ac:dyDescent="0.2">
      <c r="A18" s="99">
        <v>5</v>
      </c>
      <c r="B18" s="100" t="s">
        <v>430</v>
      </c>
      <c r="C18" s="100" t="s">
        <v>431</v>
      </c>
      <c r="D18" s="100" t="s">
        <v>432</v>
      </c>
      <c r="E18" s="100" t="s">
        <v>418</v>
      </c>
      <c r="F18" s="100" t="s">
        <v>108</v>
      </c>
      <c r="G18" s="100" t="s">
        <v>534</v>
      </c>
      <c r="H18" s="100" t="s">
        <v>530</v>
      </c>
      <c r="I18" s="100" t="s">
        <v>26</v>
      </c>
      <c r="K18" s="99">
        <v>5</v>
      </c>
      <c r="L18" s="99" t="s">
        <v>433</v>
      </c>
      <c r="M18" s="99" t="s">
        <v>419</v>
      </c>
      <c r="N18" s="99" t="s">
        <v>89</v>
      </c>
    </row>
    <row r="19" spans="1:14" x14ac:dyDescent="0.2">
      <c r="A19" s="99">
        <v>6</v>
      </c>
      <c r="B19" s="100" t="s">
        <v>434</v>
      </c>
      <c r="C19" s="100" t="s">
        <v>432</v>
      </c>
      <c r="D19" s="100" t="s">
        <v>435</v>
      </c>
      <c r="E19" s="100" t="s">
        <v>422</v>
      </c>
      <c r="F19" s="100" t="s">
        <v>108</v>
      </c>
      <c r="G19" s="100" t="s">
        <v>535</v>
      </c>
      <c r="H19" s="100" t="s">
        <v>530</v>
      </c>
      <c r="I19" s="100" t="s">
        <v>26</v>
      </c>
      <c r="K19" s="99">
        <v>6</v>
      </c>
      <c r="L19" s="99" t="s">
        <v>431</v>
      </c>
      <c r="M19" s="99" t="s">
        <v>436</v>
      </c>
      <c r="N19" s="99" t="s">
        <v>89</v>
      </c>
    </row>
    <row r="20" spans="1:14" x14ac:dyDescent="0.2">
      <c r="A20" s="99">
        <v>7</v>
      </c>
      <c r="B20" s="100" t="s">
        <v>437</v>
      </c>
      <c r="C20" s="100" t="s">
        <v>431</v>
      </c>
      <c r="D20" s="100" t="s">
        <v>435</v>
      </c>
      <c r="E20" s="100" t="s">
        <v>425</v>
      </c>
      <c r="F20" s="100" t="s">
        <v>428</v>
      </c>
      <c r="G20" s="100" t="s">
        <v>537</v>
      </c>
      <c r="H20" s="100" t="s">
        <v>531</v>
      </c>
      <c r="I20" s="100" t="s">
        <v>26</v>
      </c>
      <c r="K20" s="99">
        <v>7</v>
      </c>
      <c r="L20" s="99" t="s">
        <v>432</v>
      </c>
      <c r="M20" s="99" t="s">
        <v>436</v>
      </c>
      <c r="N20" s="99" t="s">
        <v>26</v>
      </c>
    </row>
    <row r="21" spans="1:14" x14ac:dyDescent="0.2">
      <c r="A21" s="100"/>
      <c r="B21" s="100"/>
      <c r="C21" s="100"/>
      <c r="D21" s="100"/>
      <c r="E21" s="100"/>
      <c r="F21" s="100"/>
      <c r="G21" s="100"/>
      <c r="H21" s="100"/>
      <c r="I21" s="100"/>
      <c r="K21" s="99">
        <v>8</v>
      </c>
      <c r="L21" s="99" t="s">
        <v>435</v>
      </c>
      <c r="M21" s="99" t="s">
        <v>436</v>
      </c>
      <c r="N21" s="99" t="s">
        <v>26</v>
      </c>
    </row>
    <row r="22" spans="1:14" x14ac:dyDescent="0.2">
      <c r="A22" s="100"/>
      <c r="B22" s="100"/>
      <c r="C22" s="100"/>
      <c r="D22" s="100"/>
      <c r="E22" s="100"/>
      <c r="F22" s="100"/>
      <c r="G22" s="100"/>
      <c r="H22" s="100"/>
      <c r="I22" s="100"/>
      <c r="K22" s="100"/>
      <c r="L22" s="100"/>
      <c r="M22" s="100"/>
      <c r="N22" s="100"/>
    </row>
    <row r="23" spans="1:14" x14ac:dyDescent="0.2">
      <c r="A23" s="100"/>
      <c r="B23" s="100"/>
      <c r="C23" s="100"/>
      <c r="D23" s="100"/>
      <c r="E23" s="100"/>
      <c r="F23" s="100"/>
      <c r="G23" s="100"/>
      <c r="H23" s="100"/>
      <c r="I23" s="100"/>
      <c r="K23" s="100"/>
      <c r="L23" s="100"/>
      <c r="M23" s="100"/>
      <c r="N23" s="100"/>
    </row>
    <row r="24" spans="1:14" x14ac:dyDescent="0.2">
      <c r="A24" s="100"/>
      <c r="B24" s="100"/>
      <c r="C24" s="100"/>
      <c r="D24" s="100"/>
      <c r="E24" s="100"/>
      <c r="F24" s="100"/>
      <c r="G24" s="100"/>
      <c r="H24" s="100"/>
      <c r="I24" s="100"/>
      <c r="K24" s="100"/>
      <c r="L24" s="100"/>
      <c r="M24" s="100"/>
      <c r="N24" s="100"/>
    </row>
    <row r="25" spans="1:14" x14ac:dyDescent="0.2">
      <c r="A25" s="100"/>
      <c r="B25" s="100"/>
      <c r="C25" s="100"/>
      <c r="D25" s="100"/>
      <c r="E25" s="100"/>
      <c r="F25" s="100"/>
      <c r="G25" s="100"/>
      <c r="H25" s="100"/>
      <c r="I25" s="100"/>
      <c r="K25" s="100"/>
      <c r="L25" s="100"/>
      <c r="M25" s="100"/>
      <c r="N25" s="100"/>
    </row>
    <row r="26" spans="1:14" x14ac:dyDescent="0.2">
      <c r="A26" s="100"/>
      <c r="B26" s="100"/>
      <c r="C26" s="100"/>
      <c r="D26" s="100"/>
      <c r="E26" s="100"/>
      <c r="F26" s="100"/>
      <c r="G26" s="100"/>
      <c r="H26" s="100"/>
      <c r="I26" s="100"/>
      <c r="K26" s="100"/>
      <c r="L26" s="100"/>
      <c r="M26" s="100"/>
      <c r="N26" s="100"/>
    </row>
    <row r="27" spans="1:14" x14ac:dyDescent="0.2">
      <c r="A27" s="100"/>
      <c r="B27" s="100"/>
      <c r="C27" s="100"/>
      <c r="D27" s="100"/>
      <c r="E27" s="100"/>
      <c r="F27" s="100"/>
      <c r="G27" s="100"/>
      <c r="H27" s="100"/>
      <c r="I27" s="100"/>
      <c r="K27" s="100"/>
      <c r="L27" s="100"/>
      <c r="M27" s="100"/>
      <c r="N27" s="100"/>
    </row>
    <row r="28" spans="1:14" x14ac:dyDescent="0.2">
      <c r="A28" s="100"/>
      <c r="B28" s="100"/>
      <c r="C28" s="100"/>
      <c r="D28" s="100"/>
      <c r="E28" s="100"/>
      <c r="F28" s="100"/>
      <c r="G28" s="100"/>
      <c r="H28" s="100"/>
      <c r="I28" s="100"/>
      <c r="K28" s="100"/>
      <c r="L28" s="100"/>
      <c r="M28" s="100"/>
      <c r="N28" s="100"/>
    </row>
    <row r="29" spans="1:14" x14ac:dyDescent="0.2">
      <c r="A29" s="100"/>
      <c r="B29" s="100"/>
      <c r="C29" s="100"/>
      <c r="D29" s="100"/>
      <c r="E29" s="100"/>
      <c r="F29" s="100"/>
      <c r="G29" s="100"/>
      <c r="H29" s="100"/>
      <c r="I29" s="100"/>
      <c r="K29" s="100"/>
      <c r="L29" s="100"/>
      <c r="M29" s="100"/>
      <c r="N29" s="100"/>
    </row>
    <row r="30" spans="1:14" x14ac:dyDescent="0.2">
      <c r="A30" s="100"/>
      <c r="B30" s="100"/>
      <c r="C30" s="100"/>
      <c r="D30" s="100"/>
      <c r="E30" s="100"/>
      <c r="F30" s="100"/>
      <c r="G30" s="100"/>
      <c r="H30" s="100"/>
      <c r="I30" s="100"/>
      <c r="K30" s="100"/>
      <c r="L30" s="100"/>
      <c r="M30" s="100"/>
      <c r="N30" s="100"/>
    </row>
    <row r="31" spans="1:14" x14ac:dyDescent="0.2">
      <c r="A31" s="100"/>
      <c r="B31" s="100"/>
      <c r="C31" s="100"/>
      <c r="D31" s="100"/>
      <c r="E31" s="100"/>
      <c r="F31" s="100"/>
      <c r="G31" s="100"/>
      <c r="H31" s="100"/>
      <c r="I31" s="100"/>
      <c r="K31" s="100"/>
      <c r="L31" s="100"/>
      <c r="M31" s="100"/>
      <c r="N31" s="100"/>
    </row>
    <row r="32" spans="1:14" x14ac:dyDescent="0.2">
      <c r="A32" s="100"/>
      <c r="B32" s="100"/>
      <c r="C32" s="100"/>
      <c r="D32" s="100"/>
      <c r="E32" s="100"/>
      <c r="F32" s="100"/>
      <c r="G32" s="100"/>
      <c r="H32" s="100"/>
      <c r="I32" s="100"/>
      <c r="K32" s="100"/>
      <c r="L32" s="100"/>
      <c r="M32" s="100"/>
      <c r="N32" s="100"/>
    </row>
    <row r="33" spans="1:14" x14ac:dyDescent="0.2">
      <c r="A33" s="100"/>
      <c r="B33" s="100"/>
      <c r="C33" s="100"/>
      <c r="D33" s="100"/>
      <c r="E33" s="100"/>
      <c r="F33" s="100"/>
      <c r="G33" s="100"/>
      <c r="H33" s="100"/>
      <c r="I33" s="100"/>
      <c r="K33" s="100"/>
      <c r="L33" s="100"/>
      <c r="M33" s="100"/>
      <c r="N33" s="100"/>
    </row>
    <row r="34" spans="1:14" x14ac:dyDescent="0.2">
      <c r="A34" s="100"/>
      <c r="B34" s="100"/>
      <c r="C34" s="100"/>
      <c r="D34" s="100"/>
      <c r="E34" s="100"/>
      <c r="F34" s="100"/>
      <c r="G34" s="100"/>
      <c r="H34" s="100"/>
      <c r="I34" s="100"/>
      <c r="K34" s="100"/>
      <c r="L34" s="100"/>
      <c r="M34" s="100"/>
      <c r="N34" s="100"/>
    </row>
    <row r="35" spans="1:14" x14ac:dyDescent="0.2">
      <c r="A35" s="100"/>
      <c r="B35" s="100"/>
      <c r="C35" s="100"/>
      <c r="D35" s="100"/>
      <c r="E35" s="100"/>
      <c r="F35" s="100"/>
      <c r="G35" s="100"/>
      <c r="H35" s="100"/>
      <c r="I35" s="100"/>
      <c r="K35" s="100"/>
      <c r="L35" s="100"/>
      <c r="M35" s="100"/>
      <c r="N35" s="100"/>
    </row>
    <row r="36" spans="1:14" x14ac:dyDescent="0.2">
      <c r="A36" s="100"/>
      <c r="B36" s="100"/>
      <c r="C36" s="100"/>
      <c r="D36" s="100"/>
      <c r="E36" s="100"/>
      <c r="F36" s="100"/>
      <c r="G36" s="100"/>
      <c r="H36" s="100"/>
      <c r="I36" s="100"/>
      <c r="K36" s="100"/>
      <c r="L36" s="100"/>
      <c r="M36" s="100"/>
      <c r="N36" s="100"/>
    </row>
    <row r="37" spans="1:14" x14ac:dyDescent="0.2">
      <c r="A37" s="100"/>
      <c r="B37" s="100"/>
      <c r="C37" s="100"/>
      <c r="D37" s="100"/>
      <c r="E37" s="100"/>
      <c r="F37" s="100"/>
      <c r="G37" s="100"/>
      <c r="H37" s="100"/>
      <c r="I37" s="100"/>
      <c r="K37" s="100"/>
      <c r="L37" s="100"/>
      <c r="M37" s="100"/>
      <c r="N37" s="100"/>
    </row>
    <row r="38" spans="1:14" x14ac:dyDescent="0.2">
      <c r="A38" s="100"/>
      <c r="B38" s="100"/>
      <c r="C38" s="100"/>
      <c r="D38" s="100"/>
      <c r="E38" s="100"/>
      <c r="F38" s="100"/>
      <c r="G38" s="100"/>
      <c r="H38" s="100"/>
      <c r="I38" s="100"/>
      <c r="K38" s="100"/>
      <c r="L38" s="100"/>
      <c r="M38" s="100"/>
      <c r="N38" s="100"/>
    </row>
    <row r="39" spans="1:14" x14ac:dyDescent="0.2">
      <c r="A39" s="100"/>
      <c r="B39" s="100"/>
      <c r="C39" s="100"/>
      <c r="D39" s="100"/>
      <c r="E39" s="100"/>
      <c r="F39" s="100"/>
      <c r="G39" s="100"/>
      <c r="H39" s="100"/>
      <c r="I39" s="100"/>
      <c r="K39" s="100"/>
      <c r="L39" s="100"/>
      <c r="M39" s="100"/>
      <c r="N39" s="100"/>
    </row>
    <row r="40" spans="1:14" x14ac:dyDescent="0.2">
      <c r="A40" s="100"/>
      <c r="B40" s="100"/>
      <c r="C40" s="100"/>
      <c r="D40" s="100"/>
      <c r="E40" s="100"/>
      <c r="F40" s="100"/>
      <c r="G40" s="100"/>
      <c r="H40" s="100"/>
      <c r="I40" s="100"/>
      <c r="K40" s="100"/>
      <c r="L40" s="100"/>
      <c r="M40" s="100"/>
      <c r="N40" s="100"/>
    </row>
    <row r="41" spans="1:14" x14ac:dyDescent="0.2">
      <c r="A41" s="100"/>
      <c r="B41" s="100"/>
      <c r="C41" s="100"/>
      <c r="D41" s="100"/>
      <c r="E41" s="100"/>
      <c r="F41" s="100"/>
      <c r="G41" s="100"/>
      <c r="H41" s="100"/>
      <c r="I41" s="100"/>
      <c r="K41" s="100"/>
      <c r="L41" s="100"/>
      <c r="M41" s="100"/>
      <c r="N41" s="100"/>
    </row>
    <row r="42" spans="1:14" x14ac:dyDescent="0.2">
      <c r="A42" s="100"/>
      <c r="B42" s="100"/>
      <c r="C42" s="100"/>
      <c r="D42" s="100"/>
      <c r="E42" s="100"/>
      <c r="F42" s="100"/>
      <c r="G42" s="100"/>
      <c r="H42" s="100"/>
      <c r="I42" s="100"/>
      <c r="K42" s="100"/>
      <c r="L42" s="100"/>
      <c r="M42" s="100"/>
      <c r="N42" s="100"/>
    </row>
    <row r="43" spans="1:14" x14ac:dyDescent="0.2">
      <c r="A43" s="100"/>
      <c r="B43" s="100"/>
      <c r="C43" s="100"/>
      <c r="D43" s="100"/>
      <c r="E43" s="100"/>
      <c r="F43" s="100"/>
      <c r="G43" s="100"/>
      <c r="H43" s="100"/>
      <c r="I43" s="100"/>
      <c r="K43" s="100"/>
      <c r="L43" s="100"/>
      <c r="M43" s="100"/>
      <c r="N43" s="100"/>
    </row>
    <row r="44" spans="1:14" x14ac:dyDescent="0.2">
      <c r="A44" s="100"/>
      <c r="B44" s="100"/>
      <c r="C44" s="100"/>
      <c r="D44" s="100"/>
      <c r="E44" s="100"/>
      <c r="F44" s="100"/>
      <c r="G44" s="100"/>
      <c r="H44" s="100"/>
      <c r="I44" s="100"/>
      <c r="K44" s="100"/>
      <c r="L44" s="100"/>
      <c r="M44" s="100"/>
      <c r="N44" s="100"/>
    </row>
    <row r="45" spans="1:14" x14ac:dyDescent="0.2">
      <c r="A45" s="100"/>
      <c r="B45" s="100"/>
      <c r="C45" s="100"/>
      <c r="D45" s="100"/>
      <c r="E45" s="100"/>
      <c r="F45" s="100"/>
      <c r="G45" s="100"/>
      <c r="H45" s="100"/>
      <c r="I45" s="100"/>
      <c r="K45" s="100"/>
      <c r="L45" s="100"/>
      <c r="M45" s="100"/>
      <c r="N45" s="100"/>
    </row>
    <row r="46" spans="1:14" x14ac:dyDescent="0.2">
      <c r="A46" s="100"/>
      <c r="B46" s="100"/>
      <c r="C46" s="100"/>
      <c r="D46" s="100"/>
      <c r="E46" s="100"/>
      <c r="F46" s="100"/>
      <c r="G46" s="100"/>
      <c r="H46" s="100"/>
      <c r="I46" s="100"/>
      <c r="K46" s="100"/>
      <c r="L46" s="100"/>
      <c r="M46" s="100"/>
      <c r="N46" s="100"/>
    </row>
    <row r="47" spans="1:14" x14ac:dyDescent="0.2">
      <c r="A47" s="100"/>
      <c r="B47" s="100"/>
      <c r="C47" s="100"/>
      <c r="D47" s="100"/>
      <c r="E47" s="100"/>
      <c r="F47" s="100"/>
      <c r="G47" s="100"/>
      <c r="H47" s="100"/>
      <c r="I47" s="100"/>
      <c r="K47" s="100"/>
      <c r="L47" s="100"/>
      <c r="M47" s="100"/>
      <c r="N47" s="100"/>
    </row>
    <row r="48" spans="1:14" x14ac:dyDescent="0.2">
      <c r="A48" s="100"/>
      <c r="B48" s="100"/>
      <c r="C48" s="100"/>
      <c r="D48" s="100"/>
      <c r="E48" s="100"/>
      <c r="F48" s="100"/>
      <c r="G48" s="100"/>
      <c r="H48" s="100"/>
      <c r="I48" s="100"/>
      <c r="K48" s="100"/>
      <c r="L48" s="100"/>
      <c r="M48" s="100"/>
      <c r="N48" s="100"/>
    </row>
    <row r="49" spans="1:14" x14ac:dyDescent="0.2">
      <c r="A49" s="100"/>
      <c r="B49" s="100"/>
      <c r="C49" s="100"/>
      <c r="D49" s="100"/>
      <c r="E49" s="100"/>
      <c r="F49" s="100"/>
      <c r="G49" s="100"/>
      <c r="H49" s="100"/>
      <c r="I49" s="100"/>
      <c r="K49" s="100"/>
      <c r="L49" s="100"/>
      <c r="M49" s="100"/>
      <c r="N49" s="100"/>
    </row>
    <row r="50" spans="1:14" x14ac:dyDescent="0.2">
      <c r="A50" s="100"/>
      <c r="B50" s="100"/>
      <c r="C50" s="100"/>
      <c r="D50" s="100"/>
      <c r="E50" s="100"/>
      <c r="F50" s="100"/>
      <c r="G50" s="100"/>
      <c r="H50" s="100"/>
      <c r="I50" s="100"/>
      <c r="K50" s="100"/>
      <c r="L50" s="100"/>
      <c r="M50" s="100"/>
      <c r="N50" s="100"/>
    </row>
    <row r="51" spans="1:14" x14ac:dyDescent="0.2">
      <c r="A51" s="100"/>
      <c r="B51" s="100"/>
      <c r="C51" s="100"/>
      <c r="D51" s="100"/>
      <c r="E51" s="100"/>
      <c r="F51" s="100"/>
      <c r="G51" s="100"/>
      <c r="H51" s="100"/>
      <c r="I51" s="100"/>
      <c r="K51" s="100"/>
      <c r="L51" s="100"/>
      <c r="M51" s="100"/>
      <c r="N51" s="100"/>
    </row>
    <row r="52" spans="1:14" x14ac:dyDescent="0.2">
      <c r="A52" s="100"/>
      <c r="B52" s="100"/>
      <c r="C52" s="100"/>
      <c r="D52" s="100"/>
      <c r="E52" s="100"/>
      <c r="F52" s="100"/>
      <c r="G52" s="100"/>
      <c r="H52" s="100"/>
      <c r="I52" s="100"/>
      <c r="K52" s="100"/>
      <c r="L52" s="100"/>
      <c r="M52" s="100"/>
      <c r="N52" s="100"/>
    </row>
    <row r="53" spans="1:14" x14ac:dyDescent="0.2">
      <c r="A53" s="100"/>
      <c r="B53" s="100"/>
      <c r="C53" s="100"/>
      <c r="D53" s="100"/>
      <c r="E53" s="100"/>
      <c r="F53" s="100"/>
      <c r="G53" s="100"/>
      <c r="H53" s="100"/>
      <c r="I53" s="100"/>
      <c r="K53" s="100"/>
      <c r="L53" s="100"/>
      <c r="M53" s="100"/>
      <c r="N53" s="100"/>
    </row>
    <row r="54" spans="1:14" x14ac:dyDescent="0.2">
      <c r="A54" s="100"/>
      <c r="B54" s="100"/>
      <c r="C54" s="100"/>
      <c r="D54" s="100"/>
      <c r="E54" s="100"/>
      <c r="F54" s="100"/>
      <c r="G54" s="100"/>
      <c r="H54" s="100"/>
      <c r="I54" s="100"/>
      <c r="K54" s="100"/>
      <c r="L54" s="100"/>
      <c r="M54" s="100"/>
      <c r="N54" s="100"/>
    </row>
    <row r="55" spans="1:14" x14ac:dyDescent="0.2">
      <c r="A55" s="100"/>
      <c r="B55" s="100"/>
      <c r="C55" s="100"/>
      <c r="D55" s="100"/>
      <c r="E55" s="100"/>
      <c r="F55" s="100"/>
      <c r="G55" s="100"/>
      <c r="H55" s="100"/>
      <c r="I55" s="100"/>
      <c r="K55" s="100"/>
      <c r="L55" s="100"/>
      <c r="M55" s="100"/>
      <c r="N55" s="100"/>
    </row>
    <row r="56" spans="1:14" x14ac:dyDescent="0.2">
      <c r="A56" s="100"/>
      <c r="B56" s="100"/>
      <c r="C56" s="100"/>
      <c r="D56" s="100"/>
      <c r="E56" s="100"/>
      <c r="F56" s="100"/>
      <c r="G56" s="100"/>
      <c r="H56" s="100"/>
      <c r="I56" s="100"/>
      <c r="K56" s="100"/>
      <c r="L56" s="100"/>
      <c r="M56" s="100"/>
      <c r="N56" s="100"/>
    </row>
    <row r="57" spans="1:14" x14ac:dyDescent="0.2">
      <c r="A57" s="100"/>
      <c r="B57" s="100"/>
      <c r="C57" s="100"/>
      <c r="D57" s="100"/>
      <c r="E57" s="100"/>
      <c r="F57" s="100"/>
      <c r="G57" s="100"/>
      <c r="H57" s="100"/>
      <c r="I57" s="100"/>
      <c r="K57" s="100"/>
      <c r="L57" s="100"/>
      <c r="M57" s="100"/>
      <c r="N57" s="100"/>
    </row>
    <row r="58" spans="1:14" x14ac:dyDescent="0.2">
      <c r="A58" s="100"/>
      <c r="B58" s="100"/>
      <c r="C58" s="100"/>
      <c r="D58" s="100"/>
      <c r="E58" s="100"/>
      <c r="F58" s="100"/>
      <c r="G58" s="100"/>
      <c r="H58" s="100"/>
      <c r="I58" s="100"/>
      <c r="K58" s="100"/>
      <c r="L58" s="100"/>
      <c r="M58" s="100"/>
      <c r="N58" s="100"/>
    </row>
    <row r="59" spans="1:14" x14ac:dyDescent="0.2">
      <c r="A59" s="100"/>
      <c r="B59" s="100"/>
      <c r="C59" s="100"/>
      <c r="D59" s="100"/>
      <c r="E59" s="100"/>
      <c r="F59" s="100"/>
      <c r="G59" s="100"/>
      <c r="H59" s="100"/>
      <c r="I59" s="100"/>
      <c r="K59" s="100"/>
      <c r="L59" s="100"/>
      <c r="M59" s="100"/>
      <c r="N59" s="100"/>
    </row>
    <row r="60" spans="1:14" x14ac:dyDescent="0.2">
      <c r="A60" s="100"/>
      <c r="B60" s="100"/>
      <c r="C60" s="100"/>
      <c r="D60" s="100"/>
      <c r="E60" s="100"/>
      <c r="F60" s="100"/>
      <c r="G60" s="100"/>
      <c r="H60" s="100"/>
      <c r="I60" s="100"/>
      <c r="K60" s="100"/>
      <c r="L60" s="100"/>
      <c r="M60" s="100"/>
      <c r="N60" s="100"/>
    </row>
    <row r="61" spans="1:14" x14ac:dyDescent="0.2">
      <c r="A61" s="100"/>
      <c r="B61" s="100"/>
      <c r="C61" s="100"/>
      <c r="D61" s="100"/>
      <c r="E61" s="100"/>
      <c r="F61" s="100"/>
      <c r="G61" s="100"/>
      <c r="H61" s="100"/>
      <c r="I61" s="100"/>
      <c r="K61" s="100"/>
      <c r="L61" s="100"/>
      <c r="M61" s="100"/>
      <c r="N61" s="100"/>
    </row>
    <row r="62" spans="1:14" x14ac:dyDescent="0.2">
      <c r="A62" s="100"/>
      <c r="B62" s="100"/>
      <c r="C62" s="100"/>
      <c r="D62" s="100"/>
      <c r="E62" s="100"/>
      <c r="F62" s="100"/>
      <c r="G62" s="100"/>
      <c r="H62" s="100"/>
      <c r="I62" s="100"/>
      <c r="K62" s="100"/>
      <c r="L62" s="100"/>
      <c r="M62" s="100"/>
      <c r="N62" s="100"/>
    </row>
    <row r="63" spans="1:14" x14ac:dyDescent="0.2">
      <c r="A63" s="100"/>
      <c r="B63" s="100"/>
      <c r="C63" s="100"/>
      <c r="D63" s="100"/>
      <c r="E63" s="100"/>
      <c r="F63" s="100"/>
      <c r="G63" s="100"/>
      <c r="H63" s="100"/>
      <c r="I63" s="100"/>
      <c r="K63" s="100"/>
      <c r="L63" s="100"/>
      <c r="M63" s="100"/>
      <c r="N63" s="100"/>
    </row>
    <row r="64" spans="1:14" x14ac:dyDescent="0.2">
      <c r="A64" s="100"/>
      <c r="B64" s="100"/>
      <c r="C64" s="100"/>
      <c r="D64" s="100"/>
      <c r="E64" s="100"/>
      <c r="F64" s="100"/>
      <c r="G64" s="100"/>
      <c r="H64" s="100"/>
      <c r="I64" s="100"/>
      <c r="K64" s="100"/>
      <c r="L64" s="100"/>
      <c r="M64" s="100"/>
      <c r="N64" s="100"/>
    </row>
    <row r="65" spans="1:14" x14ac:dyDescent="0.2">
      <c r="A65" s="100"/>
      <c r="B65" s="100"/>
      <c r="C65" s="100"/>
      <c r="D65" s="100"/>
      <c r="E65" s="100"/>
      <c r="F65" s="100"/>
      <c r="G65" s="100"/>
      <c r="H65" s="100"/>
      <c r="I65" s="100"/>
      <c r="K65" s="100"/>
      <c r="L65" s="100"/>
      <c r="M65" s="100"/>
      <c r="N65" s="100"/>
    </row>
    <row r="66" spans="1:14" x14ac:dyDescent="0.2">
      <c r="A66" s="100"/>
      <c r="B66" s="100"/>
      <c r="C66" s="100"/>
      <c r="D66" s="100"/>
      <c r="E66" s="100"/>
      <c r="F66" s="100"/>
      <c r="G66" s="100"/>
      <c r="H66" s="100"/>
      <c r="I66" s="100"/>
      <c r="K66" s="100"/>
      <c r="L66" s="100"/>
      <c r="M66" s="100"/>
      <c r="N66" s="100"/>
    </row>
    <row r="67" spans="1:14" x14ac:dyDescent="0.2">
      <c r="A67" s="100"/>
      <c r="B67" s="100"/>
      <c r="C67" s="100"/>
      <c r="D67" s="100"/>
      <c r="E67" s="100"/>
      <c r="F67" s="100"/>
      <c r="G67" s="100"/>
      <c r="H67" s="100"/>
      <c r="I67" s="100"/>
      <c r="K67" s="100"/>
      <c r="L67" s="100"/>
      <c r="M67" s="100"/>
      <c r="N67" s="100"/>
    </row>
    <row r="68" spans="1:14" x14ac:dyDescent="0.2">
      <c r="A68" s="100"/>
      <c r="B68" s="100"/>
      <c r="C68" s="100"/>
      <c r="D68" s="100"/>
      <c r="E68" s="100"/>
      <c r="F68" s="100"/>
      <c r="G68" s="100"/>
      <c r="H68" s="100"/>
      <c r="I68" s="100"/>
      <c r="K68" s="100"/>
      <c r="L68" s="100"/>
      <c r="M68" s="100"/>
      <c r="N68" s="100"/>
    </row>
    <row r="69" spans="1:14" x14ac:dyDescent="0.2">
      <c r="A69" s="100"/>
      <c r="B69" s="100"/>
      <c r="C69" s="100"/>
      <c r="D69" s="100"/>
      <c r="E69" s="100"/>
      <c r="F69" s="100"/>
      <c r="G69" s="100"/>
      <c r="H69" s="100"/>
      <c r="I69" s="100"/>
      <c r="K69" s="100"/>
      <c r="L69" s="100"/>
      <c r="M69" s="100"/>
      <c r="N69" s="100"/>
    </row>
    <row r="70" spans="1:14" x14ac:dyDescent="0.2">
      <c r="A70" s="100"/>
      <c r="B70" s="100"/>
      <c r="C70" s="100"/>
      <c r="D70" s="100"/>
      <c r="E70" s="100"/>
      <c r="F70" s="100"/>
      <c r="G70" s="100"/>
      <c r="H70" s="100"/>
      <c r="I70" s="100"/>
      <c r="K70" s="100"/>
      <c r="L70" s="100"/>
      <c r="M70" s="100"/>
      <c r="N70" s="100"/>
    </row>
    <row r="71" spans="1:14" x14ac:dyDescent="0.2">
      <c r="A71" s="100"/>
      <c r="B71" s="100"/>
      <c r="C71" s="100"/>
      <c r="D71" s="100"/>
      <c r="E71" s="100"/>
      <c r="F71" s="100"/>
      <c r="G71" s="100"/>
      <c r="H71" s="100"/>
      <c r="I71" s="100"/>
      <c r="K71" s="100"/>
      <c r="L71" s="100"/>
      <c r="M71" s="100"/>
      <c r="N71" s="100"/>
    </row>
    <row r="72" spans="1:14" x14ac:dyDescent="0.2">
      <c r="A72" s="100"/>
      <c r="B72" s="100"/>
      <c r="C72" s="100"/>
      <c r="D72" s="100"/>
      <c r="E72" s="100"/>
      <c r="F72" s="100"/>
      <c r="G72" s="100"/>
      <c r="H72" s="100"/>
      <c r="I72" s="100"/>
      <c r="K72" s="100"/>
      <c r="L72" s="100"/>
      <c r="M72" s="100"/>
      <c r="N72" s="100"/>
    </row>
    <row r="73" spans="1:14" x14ac:dyDescent="0.2">
      <c r="A73" s="100"/>
      <c r="B73" s="100"/>
      <c r="C73" s="100"/>
      <c r="D73" s="100"/>
      <c r="E73" s="100"/>
      <c r="F73" s="100"/>
      <c r="G73" s="100"/>
      <c r="H73" s="100"/>
      <c r="I73" s="100"/>
      <c r="K73" s="100"/>
      <c r="L73" s="100"/>
      <c r="M73" s="100"/>
      <c r="N73" s="100"/>
    </row>
    <row r="74" spans="1:14" x14ac:dyDescent="0.2">
      <c r="A74" s="100"/>
      <c r="B74" s="100"/>
      <c r="C74" s="100"/>
      <c r="D74" s="100"/>
      <c r="E74" s="100"/>
      <c r="F74" s="100"/>
      <c r="G74" s="100"/>
      <c r="H74" s="100"/>
      <c r="I74" s="100"/>
      <c r="K74" s="100"/>
      <c r="L74" s="100"/>
      <c r="M74" s="100"/>
      <c r="N74" s="100"/>
    </row>
    <row r="75" spans="1:14" x14ac:dyDescent="0.2">
      <c r="A75" s="100"/>
      <c r="B75" s="100"/>
      <c r="C75" s="100"/>
      <c r="D75" s="100"/>
      <c r="E75" s="100"/>
      <c r="F75" s="100"/>
      <c r="G75" s="100"/>
      <c r="H75" s="100"/>
      <c r="I75" s="100"/>
      <c r="K75" s="100"/>
      <c r="L75" s="100"/>
      <c r="M75" s="100"/>
      <c r="N75" s="100"/>
    </row>
    <row r="76" spans="1:14" x14ac:dyDescent="0.2">
      <c r="A76" s="100"/>
      <c r="B76" s="100"/>
      <c r="C76" s="100"/>
      <c r="D76" s="100"/>
      <c r="E76" s="100"/>
      <c r="F76" s="100"/>
      <c r="G76" s="100"/>
      <c r="H76" s="100"/>
      <c r="I76" s="100"/>
      <c r="K76" s="100"/>
      <c r="L76" s="100"/>
      <c r="M76" s="100"/>
      <c r="N76" s="100"/>
    </row>
    <row r="77" spans="1:14" x14ac:dyDescent="0.2">
      <c r="A77" s="100"/>
      <c r="B77" s="100"/>
      <c r="C77" s="100"/>
      <c r="D77" s="100"/>
      <c r="E77" s="100"/>
      <c r="F77" s="100"/>
      <c r="G77" s="100"/>
      <c r="H77" s="100"/>
      <c r="I77" s="100"/>
      <c r="K77" s="100"/>
      <c r="L77" s="100"/>
      <c r="M77" s="100"/>
      <c r="N77" s="100"/>
    </row>
    <row r="78" spans="1:14" x14ac:dyDescent="0.2">
      <c r="A78" s="100"/>
      <c r="B78" s="100"/>
      <c r="C78" s="100"/>
      <c r="D78" s="100"/>
      <c r="E78" s="100"/>
      <c r="F78" s="100"/>
      <c r="G78" s="100"/>
      <c r="H78" s="100"/>
      <c r="I78" s="100"/>
      <c r="K78" s="100"/>
      <c r="L78" s="100"/>
      <c r="M78" s="100"/>
      <c r="N78" s="100"/>
    </row>
    <row r="79" spans="1:14" x14ac:dyDescent="0.2">
      <c r="A79" s="100"/>
      <c r="B79" s="100"/>
      <c r="C79" s="100"/>
      <c r="D79" s="100"/>
      <c r="E79" s="100"/>
      <c r="F79" s="100"/>
      <c r="G79" s="100"/>
      <c r="H79" s="100"/>
      <c r="I79" s="100"/>
      <c r="K79" s="100"/>
      <c r="L79" s="100"/>
      <c r="M79" s="100"/>
      <c r="N79" s="100"/>
    </row>
    <row r="80" spans="1:14" x14ac:dyDescent="0.2">
      <c r="A80" s="100"/>
      <c r="B80" s="100"/>
      <c r="C80" s="100"/>
      <c r="D80" s="100"/>
      <c r="E80" s="100"/>
      <c r="F80" s="100"/>
      <c r="G80" s="100"/>
      <c r="H80" s="100"/>
      <c r="I80" s="100"/>
      <c r="K80" s="100"/>
      <c r="L80" s="100"/>
      <c r="M80" s="100"/>
      <c r="N80" s="100"/>
    </row>
    <row r="81" spans="1:14" x14ac:dyDescent="0.2">
      <c r="A81" s="100"/>
      <c r="B81" s="100"/>
      <c r="C81" s="100"/>
      <c r="D81" s="100"/>
      <c r="E81" s="100"/>
      <c r="F81" s="100"/>
      <c r="G81" s="100"/>
      <c r="H81" s="100"/>
      <c r="I81" s="100"/>
      <c r="K81" s="100"/>
      <c r="L81" s="100"/>
      <c r="M81" s="100"/>
      <c r="N81" s="100"/>
    </row>
    <row r="82" spans="1:14" x14ac:dyDescent="0.2">
      <c r="A82" s="100"/>
      <c r="B82" s="100"/>
      <c r="C82" s="100"/>
      <c r="D82" s="100"/>
      <c r="E82" s="100"/>
      <c r="F82" s="100"/>
      <c r="G82" s="100"/>
      <c r="H82" s="100"/>
      <c r="I82" s="100"/>
      <c r="K82" s="100"/>
      <c r="L82" s="100"/>
      <c r="M82" s="100"/>
      <c r="N82" s="100"/>
    </row>
    <row r="83" spans="1:14" x14ac:dyDescent="0.2">
      <c r="A83" s="100"/>
      <c r="B83" s="100"/>
      <c r="C83" s="100"/>
      <c r="D83" s="100"/>
      <c r="E83" s="100"/>
      <c r="F83" s="100"/>
      <c r="G83" s="100"/>
      <c r="H83" s="100"/>
      <c r="I83" s="100"/>
      <c r="K83" s="100"/>
      <c r="L83" s="100"/>
      <c r="M83" s="100"/>
      <c r="N83" s="100"/>
    </row>
    <row r="84" spans="1:14" x14ac:dyDescent="0.2">
      <c r="A84" s="100"/>
      <c r="B84" s="100"/>
      <c r="C84" s="100"/>
      <c r="D84" s="100"/>
      <c r="E84" s="100"/>
      <c r="F84" s="100"/>
      <c r="G84" s="100"/>
      <c r="H84" s="100"/>
      <c r="I84" s="100"/>
      <c r="K84" s="100"/>
      <c r="L84" s="100"/>
      <c r="M84" s="100"/>
      <c r="N84" s="100"/>
    </row>
    <row r="85" spans="1:14" x14ac:dyDescent="0.2">
      <c r="A85" s="100"/>
      <c r="B85" s="100"/>
      <c r="C85" s="100"/>
      <c r="D85" s="100"/>
      <c r="E85" s="100"/>
      <c r="F85" s="100"/>
      <c r="G85" s="100"/>
      <c r="H85" s="100"/>
      <c r="I85" s="100"/>
      <c r="K85" s="100"/>
      <c r="L85" s="100"/>
      <c r="M85" s="100"/>
      <c r="N85" s="100"/>
    </row>
    <row r="86" spans="1:14" x14ac:dyDescent="0.2">
      <c r="A86" s="100"/>
      <c r="B86" s="100"/>
      <c r="C86" s="100"/>
      <c r="D86" s="100"/>
      <c r="E86" s="100"/>
      <c r="F86" s="100"/>
      <c r="G86" s="100"/>
      <c r="H86" s="100"/>
      <c r="I86" s="100"/>
      <c r="K86" s="100"/>
      <c r="L86" s="100"/>
      <c r="M86" s="100"/>
      <c r="N86" s="100"/>
    </row>
    <row r="87" spans="1:14" x14ac:dyDescent="0.2">
      <c r="A87" s="100"/>
      <c r="B87" s="100"/>
      <c r="C87" s="100"/>
      <c r="D87" s="100"/>
      <c r="E87" s="100"/>
      <c r="F87" s="100"/>
      <c r="G87" s="100"/>
      <c r="H87" s="100"/>
      <c r="I87" s="100"/>
      <c r="K87" s="100"/>
      <c r="L87" s="100"/>
      <c r="M87" s="100"/>
      <c r="N87" s="100"/>
    </row>
    <row r="88" spans="1:14" x14ac:dyDescent="0.2">
      <c r="A88" s="100"/>
      <c r="B88" s="100"/>
      <c r="C88" s="100"/>
      <c r="D88" s="100"/>
      <c r="E88" s="100"/>
      <c r="F88" s="100"/>
      <c r="G88" s="100"/>
      <c r="H88" s="100"/>
      <c r="I88" s="100"/>
      <c r="K88" s="100"/>
      <c r="L88" s="100"/>
      <c r="M88" s="100"/>
      <c r="N88" s="100"/>
    </row>
    <row r="89" spans="1:14" x14ac:dyDescent="0.2">
      <c r="A89" s="100"/>
      <c r="B89" s="100"/>
      <c r="C89" s="100"/>
      <c r="D89" s="100"/>
      <c r="E89" s="100"/>
      <c r="F89" s="100"/>
      <c r="G89" s="100"/>
      <c r="H89" s="100"/>
      <c r="I89" s="100"/>
      <c r="K89" s="100"/>
      <c r="L89" s="100"/>
      <c r="M89" s="100"/>
      <c r="N89" s="100"/>
    </row>
    <row r="90" spans="1:14" x14ac:dyDescent="0.2">
      <c r="A90" s="100"/>
      <c r="B90" s="100"/>
      <c r="C90" s="100"/>
      <c r="D90" s="100"/>
      <c r="E90" s="100"/>
      <c r="F90" s="100"/>
      <c r="G90" s="100"/>
      <c r="H90" s="100"/>
      <c r="I90" s="100"/>
      <c r="K90" s="100"/>
      <c r="L90" s="100"/>
      <c r="M90" s="100"/>
      <c r="N90" s="100"/>
    </row>
    <row r="91" spans="1:14" x14ac:dyDescent="0.2">
      <c r="A91" s="100"/>
      <c r="B91" s="100"/>
      <c r="C91" s="100"/>
      <c r="D91" s="100"/>
      <c r="E91" s="100"/>
      <c r="F91" s="100"/>
      <c r="G91" s="100"/>
      <c r="H91" s="100"/>
      <c r="I91" s="100"/>
      <c r="K91" s="100"/>
      <c r="L91" s="100"/>
      <c r="M91" s="100"/>
      <c r="N91" s="100"/>
    </row>
    <row r="92" spans="1:14" x14ac:dyDescent="0.2">
      <c r="A92" s="100"/>
      <c r="B92" s="100"/>
      <c r="C92" s="100"/>
      <c r="D92" s="100"/>
      <c r="E92" s="100"/>
      <c r="F92" s="100"/>
      <c r="G92" s="100"/>
      <c r="H92" s="100"/>
      <c r="I92" s="100"/>
      <c r="K92" s="100"/>
      <c r="L92" s="100"/>
      <c r="M92" s="100"/>
      <c r="N92" s="100"/>
    </row>
    <row r="93" spans="1:14" x14ac:dyDescent="0.2">
      <c r="A93" s="100"/>
      <c r="B93" s="100"/>
      <c r="C93" s="100"/>
      <c r="D93" s="100"/>
      <c r="E93" s="100"/>
      <c r="F93" s="100"/>
      <c r="G93" s="100"/>
      <c r="H93" s="100"/>
      <c r="I93" s="100"/>
      <c r="K93" s="100"/>
      <c r="L93" s="100"/>
      <c r="M93" s="100"/>
      <c r="N93" s="100"/>
    </row>
    <row r="94" spans="1:14" x14ac:dyDescent="0.2">
      <c r="A94" s="100"/>
      <c r="B94" s="100"/>
      <c r="C94" s="100"/>
      <c r="D94" s="100"/>
      <c r="E94" s="100"/>
      <c r="F94" s="100"/>
      <c r="G94" s="100"/>
      <c r="H94" s="100"/>
      <c r="I94" s="100"/>
      <c r="K94" s="100"/>
      <c r="L94" s="100"/>
      <c r="M94" s="100"/>
      <c r="N94" s="100"/>
    </row>
    <row r="95" spans="1:14" x14ac:dyDescent="0.2">
      <c r="A95" s="100"/>
      <c r="B95" s="100"/>
      <c r="C95" s="100"/>
      <c r="D95" s="100"/>
      <c r="E95" s="100"/>
      <c r="F95" s="100"/>
      <c r="G95" s="100"/>
      <c r="H95" s="100"/>
      <c r="I95" s="100"/>
      <c r="K95" s="100"/>
      <c r="L95" s="100"/>
      <c r="M95" s="100"/>
      <c r="N95" s="100"/>
    </row>
    <row r="96" spans="1:14" x14ac:dyDescent="0.2">
      <c r="A96" s="100"/>
      <c r="B96" s="100"/>
      <c r="C96" s="100"/>
      <c r="D96" s="100"/>
      <c r="E96" s="100"/>
      <c r="F96" s="100"/>
      <c r="G96" s="100"/>
      <c r="H96" s="100"/>
      <c r="I96" s="100"/>
      <c r="K96" s="100"/>
      <c r="L96" s="100"/>
      <c r="M96" s="100"/>
      <c r="N96" s="100"/>
    </row>
    <row r="97" spans="1:14" x14ac:dyDescent="0.2">
      <c r="A97" s="100"/>
      <c r="B97" s="100"/>
      <c r="C97" s="100"/>
      <c r="D97" s="100"/>
      <c r="E97" s="100"/>
      <c r="F97" s="100"/>
      <c r="G97" s="100"/>
      <c r="H97" s="100"/>
      <c r="I97" s="100"/>
      <c r="K97" s="100"/>
      <c r="L97" s="100"/>
      <c r="M97" s="100"/>
      <c r="N97" s="100"/>
    </row>
    <row r="98" spans="1:14" x14ac:dyDescent="0.2">
      <c r="A98" s="100"/>
      <c r="B98" s="100"/>
      <c r="C98" s="100"/>
      <c r="D98" s="100"/>
      <c r="E98" s="100"/>
      <c r="F98" s="100"/>
      <c r="G98" s="100"/>
      <c r="H98" s="100"/>
      <c r="I98" s="100"/>
      <c r="K98" s="100"/>
      <c r="L98" s="100"/>
      <c r="M98" s="100"/>
      <c r="N98" s="100"/>
    </row>
    <row r="99" spans="1:14" x14ac:dyDescent="0.2">
      <c r="A99" s="100"/>
      <c r="B99" s="100"/>
      <c r="C99" s="100"/>
      <c r="D99" s="100"/>
      <c r="E99" s="100"/>
      <c r="F99" s="100"/>
      <c r="G99" s="100"/>
      <c r="H99" s="100"/>
      <c r="I99" s="100"/>
      <c r="K99" s="100"/>
      <c r="L99" s="100"/>
      <c r="M99" s="100"/>
      <c r="N99" s="100"/>
    </row>
    <row r="100" spans="1:14" x14ac:dyDescent="0.2">
      <c r="A100" s="100"/>
      <c r="B100" s="100"/>
      <c r="C100" s="100"/>
      <c r="D100" s="100"/>
      <c r="E100" s="100"/>
      <c r="F100" s="100"/>
      <c r="G100" s="100"/>
      <c r="H100" s="100"/>
      <c r="I100" s="100"/>
      <c r="K100" s="100"/>
      <c r="L100" s="100"/>
      <c r="M100" s="100"/>
      <c r="N100" s="100"/>
    </row>
    <row r="101" spans="1:14" x14ac:dyDescent="0.2">
      <c r="A101" s="100"/>
      <c r="B101" s="100"/>
      <c r="C101" s="100"/>
      <c r="D101" s="100"/>
      <c r="E101" s="100"/>
      <c r="F101" s="100"/>
      <c r="G101" s="100"/>
      <c r="H101" s="100"/>
      <c r="I101" s="100"/>
      <c r="K101" s="100"/>
      <c r="L101" s="100"/>
      <c r="M101" s="100"/>
      <c r="N101" s="100"/>
    </row>
    <row r="102" spans="1:14" x14ac:dyDescent="0.2">
      <c r="A102" s="100"/>
      <c r="B102" s="100"/>
      <c r="C102" s="100"/>
      <c r="D102" s="100"/>
      <c r="E102" s="100"/>
      <c r="F102" s="100"/>
      <c r="G102" s="100"/>
      <c r="H102" s="100"/>
      <c r="I102" s="100"/>
      <c r="K102" s="100"/>
      <c r="L102" s="100"/>
      <c r="M102" s="100"/>
      <c r="N102" s="100"/>
    </row>
    <row r="103" spans="1:14" x14ac:dyDescent="0.2">
      <c r="A103" s="100"/>
      <c r="B103" s="100"/>
      <c r="C103" s="100"/>
      <c r="D103" s="100"/>
      <c r="E103" s="100"/>
      <c r="F103" s="100"/>
      <c r="G103" s="100"/>
      <c r="H103" s="100"/>
      <c r="I103" s="100"/>
      <c r="K103" s="100"/>
      <c r="L103" s="100"/>
      <c r="M103" s="100"/>
      <c r="N103" s="100"/>
    </row>
    <row r="104" spans="1:14" x14ac:dyDescent="0.2">
      <c r="A104" s="100"/>
      <c r="B104" s="100"/>
      <c r="C104" s="100"/>
      <c r="D104" s="100"/>
      <c r="E104" s="100"/>
      <c r="F104" s="100"/>
      <c r="G104" s="100"/>
      <c r="H104" s="100"/>
      <c r="I104" s="100"/>
      <c r="K104" s="100"/>
      <c r="L104" s="100"/>
      <c r="M104" s="100"/>
      <c r="N104" s="100"/>
    </row>
    <row r="105" spans="1:14" x14ac:dyDescent="0.2">
      <c r="A105" s="100"/>
      <c r="B105" s="100"/>
      <c r="C105" s="100"/>
      <c r="D105" s="100"/>
      <c r="E105" s="100"/>
      <c r="F105" s="100"/>
      <c r="G105" s="100"/>
      <c r="H105" s="100"/>
      <c r="I105" s="100"/>
      <c r="K105" s="100"/>
      <c r="L105" s="100"/>
      <c r="M105" s="100"/>
      <c r="N105" s="100"/>
    </row>
    <row r="106" spans="1:14" x14ac:dyDescent="0.2">
      <c r="A106" s="100"/>
      <c r="B106" s="100"/>
      <c r="C106" s="100"/>
      <c r="D106" s="100"/>
      <c r="E106" s="100"/>
      <c r="F106" s="100"/>
      <c r="G106" s="100"/>
      <c r="H106" s="100"/>
      <c r="I106" s="100"/>
      <c r="K106" s="100"/>
      <c r="L106" s="100"/>
      <c r="M106" s="100"/>
      <c r="N106" s="100"/>
    </row>
    <row r="107" spans="1:14" x14ac:dyDescent="0.2">
      <c r="A107" s="100"/>
      <c r="B107" s="100"/>
      <c r="C107" s="100"/>
      <c r="D107" s="100"/>
      <c r="E107" s="100"/>
      <c r="F107" s="100"/>
      <c r="G107" s="100"/>
      <c r="H107" s="100"/>
      <c r="I107" s="100"/>
      <c r="K107" s="100"/>
      <c r="L107" s="100"/>
      <c r="M107" s="100"/>
      <c r="N107" s="100"/>
    </row>
    <row r="108" spans="1:14" x14ac:dyDescent="0.2">
      <c r="A108" s="100"/>
      <c r="B108" s="100"/>
      <c r="C108" s="100"/>
      <c r="D108" s="100"/>
      <c r="E108" s="100"/>
      <c r="F108" s="100"/>
      <c r="G108" s="100"/>
      <c r="H108" s="100"/>
      <c r="I108" s="100"/>
      <c r="K108" s="100"/>
      <c r="L108" s="100"/>
      <c r="M108" s="100"/>
      <c r="N108" s="100"/>
    </row>
    <row r="109" spans="1:14" x14ac:dyDescent="0.2">
      <c r="A109" s="100"/>
      <c r="B109" s="100"/>
      <c r="C109" s="100"/>
      <c r="D109" s="100"/>
      <c r="E109" s="100"/>
      <c r="F109" s="100"/>
      <c r="G109" s="100"/>
      <c r="H109" s="100"/>
      <c r="I109" s="100"/>
      <c r="K109" s="100"/>
      <c r="L109" s="100"/>
      <c r="M109" s="100"/>
      <c r="N109" s="100"/>
    </row>
    <row r="110" spans="1:14" x14ac:dyDescent="0.2">
      <c r="A110" s="100"/>
      <c r="B110" s="100"/>
      <c r="C110" s="100"/>
      <c r="D110" s="100"/>
      <c r="E110" s="100"/>
      <c r="F110" s="100"/>
      <c r="G110" s="100"/>
      <c r="H110" s="100"/>
      <c r="I110" s="100"/>
      <c r="K110" s="100"/>
      <c r="L110" s="100"/>
      <c r="M110" s="100"/>
      <c r="N110" s="100"/>
    </row>
    <row r="111" spans="1:14" x14ac:dyDescent="0.2">
      <c r="A111" s="100"/>
      <c r="B111" s="100"/>
      <c r="C111" s="100"/>
      <c r="D111" s="100"/>
      <c r="E111" s="100"/>
      <c r="F111" s="100"/>
      <c r="G111" s="100"/>
      <c r="H111" s="100"/>
      <c r="I111" s="100"/>
      <c r="K111" s="100"/>
      <c r="L111" s="100"/>
      <c r="M111" s="100"/>
      <c r="N111" s="100"/>
    </row>
    <row r="112" spans="1:14" x14ac:dyDescent="0.2">
      <c r="A112" s="100"/>
      <c r="B112" s="100"/>
      <c r="C112" s="100"/>
      <c r="D112" s="100"/>
      <c r="E112" s="100"/>
      <c r="F112" s="100"/>
      <c r="G112" s="100"/>
      <c r="H112" s="100"/>
      <c r="I112" s="100"/>
      <c r="K112" s="100"/>
      <c r="L112" s="100"/>
      <c r="M112" s="100"/>
      <c r="N112" s="100"/>
    </row>
    <row r="113" spans="1:14" x14ac:dyDescent="0.2">
      <c r="A113" s="100"/>
      <c r="B113" s="100"/>
      <c r="C113" s="100"/>
      <c r="D113" s="100"/>
      <c r="E113" s="100"/>
      <c r="F113" s="100"/>
      <c r="G113" s="100"/>
      <c r="H113" s="100"/>
      <c r="I113" s="100"/>
      <c r="K113" s="100"/>
      <c r="L113" s="100"/>
      <c r="M113" s="100"/>
      <c r="N113" s="100"/>
    </row>
    <row r="114" spans="1:14" x14ac:dyDescent="0.2">
      <c r="A114" s="100"/>
      <c r="B114" s="100"/>
      <c r="C114" s="100"/>
      <c r="D114" s="100"/>
      <c r="E114" s="100"/>
      <c r="F114" s="100"/>
      <c r="G114" s="100"/>
      <c r="H114" s="100"/>
      <c r="I114" s="100"/>
      <c r="K114" s="100"/>
      <c r="L114" s="100"/>
      <c r="M114" s="100"/>
      <c r="N114" s="100"/>
    </row>
    <row r="115" spans="1:14" x14ac:dyDescent="0.2">
      <c r="A115" s="100"/>
      <c r="B115" s="100"/>
      <c r="C115" s="100"/>
      <c r="D115" s="100"/>
      <c r="E115" s="100"/>
      <c r="F115" s="100"/>
      <c r="G115" s="100"/>
      <c r="H115" s="100"/>
      <c r="I115" s="100"/>
      <c r="K115" s="100"/>
      <c r="L115" s="100"/>
      <c r="M115" s="100"/>
      <c r="N115" s="100"/>
    </row>
    <row r="116" spans="1:14" x14ac:dyDescent="0.2">
      <c r="A116" s="100"/>
      <c r="B116" s="100"/>
      <c r="C116" s="100"/>
      <c r="D116" s="100"/>
      <c r="E116" s="100"/>
      <c r="F116" s="100"/>
      <c r="G116" s="100"/>
      <c r="H116" s="100"/>
      <c r="I116" s="100"/>
      <c r="K116" s="100"/>
      <c r="L116" s="100"/>
      <c r="M116" s="100"/>
      <c r="N116" s="100"/>
    </row>
    <row r="117" spans="1:14" x14ac:dyDescent="0.2">
      <c r="A117" s="100"/>
      <c r="B117" s="100"/>
      <c r="C117" s="100"/>
      <c r="D117" s="100"/>
      <c r="E117" s="100"/>
      <c r="F117" s="100"/>
      <c r="G117" s="100"/>
      <c r="H117" s="100"/>
      <c r="I117" s="100"/>
      <c r="K117" s="100"/>
      <c r="L117" s="100"/>
      <c r="M117" s="100"/>
      <c r="N117" s="100"/>
    </row>
    <row r="118" spans="1:14" x14ac:dyDescent="0.2">
      <c r="A118" s="100"/>
      <c r="B118" s="100"/>
      <c r="C118" s="100"/>
      <c r="D118" s="100"/>
      <c r="E118" s="100"/>
      <c r="F118" s="100"/>
      <c r="G118" s="100"/>
      <c r="H118" s="100"/>
      <c r="I118" s="100"/>
      <c r="K118" s="100"/>
      <c r="L118" s="100"/>
      <c r="M118" s="100"/>
      <c r="N118" s="100"/>
    </row>
    <row r="119" spans="1:14" x14ac:dyDescent="0.2">
      <c r="A119" s="100"/>
      <c r="B119" s="100"/>
      <c r="C119" s="100"/>
      <c r="D119" s="100"/>
      <c r="E119" s="100"/>
      <c r="F119" s="100"/>
      <c r="G119" s="100"/>
      <c r="H119" s="100"/>
      <c r="I119" s="100"/>
      <c r="K119" s="100"/>
      <c r="L119" s="100"/>
      <c r="M119" s="100"/>
      <c r="N119" s="100"/>
    </row>
    <row r="120" spans="1:14" x14ac:dyDescent="0.2">
      <c r="A120" s="100"/>
      <c r="B120" s="100"/>
      <c r="C120" s="100"/>
      <c r="D120" s="100"/>
      <c r="E120" s="100"/>
      <c r="F120" s="100"/>
      <c r="G120" s="100"/>
      <c r="H120" s="100"/>
      <c r="I120" s="100"/>
      <c r="K120" s="100"/>
      <c r="L120" s="100"/>
      <c r="M120" s="100"/>
      <c r="N120" s="100"/>
    </row>
    <row r="121" spans="1:14" x14ac:dyDescent="0.2">
      <c r="A121" s="100"/>
      <c r="B121" s="100"/>
      <c r="C121" s="100"/>
      <c r="D121" s="100"/>
      <c r="E121" s="100"/>
      <c r="F121" s="100"/>
      <c r="G121" s="100"/>
      <c r="H121" s="100"/>
      <c r="I121" s="100"/>
      <c r="K121" s="100"/>
      <c r="L121" s="100"/>
      <c r="M121" s="100"/>
      <c r="N121" s="100"/>
    </row>
    <row r="122" spans="1:14" x14ac:dyDescent="0.2">
      <c r="A122" s="100"/>
      <c r="B122" s="100"/>
      <c r="C122" s="100"/>
      <c r="D122" s="100"/>
      <c r="E122" s="100"/>
      <c r="F122" s="100"/>
      <c r="G122" s="100"/>
      <c r="H122" s="100"/>
      <c r="I122" s="100"/>
      <c r="K122" s="100"/>
      <c r="L122" s="100"/>
      <c r="M122" s="100"/>
      <c r="N122" s="100"/>
    </row>
    <row r="123" spans="1:14" x14ac:dyDescent="0.2">
      <c r="A123" s="100"/>
      <c r="B123" s="100"/>
      <c r="C123" s="100"/>
      <c r="D123" s="100"/>
      <c r="E123" s="100"/>
      <c r="F123" s="100"/>
      <c r="G123" s="100"/>
      <c r="H123" s="100"/>
      <c r="I123" s="100"/>
      <c r="K123" s="100"/>
      <c r="L123" s="100"/>
      <c r="M123" s="100"/>
      <c r="N123" s="100"/>
    </row>
    <row r="124" spans="1:14" x14ac:dyDescent="0.2">
      <c r="A124" s="100"/>
      <c r="B124" s="100"/>
      <c r="C124" s="100"/>
      <c r="D124" s="100"/>
      <c r="E124" s="100"/>
      <c r="F124" s="100"/>
      <c r="G124" s="100"/>
      <c r="H124" s="100"/>
      <c r="I124" s="100"/>
      <c r="K124" s="100"/>
      <c r="L124" s="100"/>
      <c r="M124" s="100"/>
      <c r="N124" s="100"/>
    </row>
    <row r="125" spans="1:14" x14ac:dyDescent="0.2">
      <c r="A125" s="100"/>
      <c r="B125" s="100"/>
      <c r="C125" s="100"/>
      <c r="D125" s="100"/>
      <c r="E125" s="100"/>
      <c r="F125" s="100"/>
      <c r="G125" s="100"/>
      <c r="H125" s="100"/>
      <c r="I125" s="100"/>
      <c r="K125" s="100"/>
      <c r="L125" s="100"/>
      <c r="M125" s="100"/>
      <c r="N125" s="100"/>
    </row>
    <row r="126" spans="1:14" x14ac:dyDescent="0.2">
      <c r="A126" s="100"/>
      <c r="B126" s="100"/>
      <c r="C126" s="100"/>
      <c r="D126" s="100"/>
      <c r="E126" s="100"/>
      <c r="F126" s="100"/>
      <c r="G126" s="100"/>
      <c r="H126" s="100"/>
      <c r="I126" s="100"/>
      <c r="K126" s="100"/>
      <c r="L126" s="100"/>
      <c r="M126" s="100"/>
      <c r="N126" s="100"/>
    </row>
    <row r="127" spans="1:14" x14ac:dyDescent="0.2">
      <c r="A127" s="100"/>
      <c r="B127" s="100"/>
      <c r="C127" s="100"/>
      <c r="D127" s="100"/>
      <c r="E127" s="100"/>
      <c r="F127" s="100"/>
      <c r="G127" s="100"/>
      <c r="H127" s="100"/>
      <c r="I127" s="100"/>
      <c r="K127" s="100"/>
      <c r="L127" s="100"/>
      <c r="M127" s="100"/>
      <c r="N127" s="100"/>
    </row>
    <row r="128" spans="1:14" x14ac:dyDescent="0.2">
      <c r="A128" s="100"/>
      <c r="B128" s="100"/>
      <c r="C128" s="100"/>
      <c r="D128" s="100"/>
      <c r="E128" s="100"/>
      <c r="F128" s="100"/>
      <c r="G128" s="100"/>
      <c r="H128" s="100"/>
      <c r="I128" s="100"/>
      <c r="K128" s="100"/>
      <c r="L128" s="100"/>
      <c r="M128" s="100"/>
      <c r="N128" s="100"/>
    </row>
    <row r="129" spans="1:14" x14ac:dyDescent="0.2">
      <c r="A129" s="100"/>
      <c r="B129" s="100"/>
      <c r="C129" s="100"/>
      <c r="D129" s="100"/>
      <c r="E129" s="100"/>
      <c r="F129" s="100"/>
      <c r="G129" s="100"/>
      <c r="H129" s="100"/>
      <c r="I129" s="100"/>
      <c r="K129" s="100"/>
      <c r="L129" s="100"/>
      <c r="M129" s="100"/>
      <c r="N129" s="100"/>
    </row>
    <row r="130" spans="1:14" x14ac:dyDescent="0.2">
      <c r="A130" s="100"/>
      <c r="B130" s="100"/>
      <c r="C130" s="100"/>
      <c r="D130" s="100"/>
      <c r="E130" s="100"/>
      <c r="F130" s="100"/>
      <c r="G130" s="100"/>
      <c r="H130" s="100"/>
      <c r="I130" s="100"/>
      <c r="K130" s="100"/>
      <c r="L130" s="100"/>
      <c r="M130" s="100"/>
      <c r="N130" s="100"/>
    </row>
    <row r="131" spans="1:14" x14ac:dyDescent="0.2">
      <c r="A131" s="100"/>
      <c r="B131" s="100"/>
      <c r="C131" s="100"/>
      <c r="D131" s="100"/>
      <c r="E131" s="100"/>
      <c r="F131" s="100"/>
      <c r="G131" s="100"/>
      <c r="H131" s="100"/>
      <c r="I131" s="100"/>
      <c r="K131" s="100"/>
      <c r="L131" s="100"/>
      <c r="M131" s="100"/>
      <c r="N131" s="100"/>
    </row>
    <row r="132" spans="1:14" x14ac:dyDescent="0.2">
      <c r="A132" s="100"/>
      <c r="B132" s="100"/>
      <c r="C132" s="100"/>
      <c r="D132" s="100"/>
      <c r="E132" s="100"/>
      <c r="F132" s="100"/>
      <c r="G132" s="100"/>
      <c r="H132" s="100"/>
      <c r="I132" s="100"/>
      <c r="K132" s="100"/>
      <c r="L132" s="100"/>
      <c r="M132" s="100"/>
      <c r="N132" s="100"/>
    </row>
    <row r="133" spans="1:14" x14ac:dyDescent="0.2">
      <c r="A133" s="100"/>
      <c r="B133" s="100"/>
      <c r="C133" s="100"/>
      <c r="D133" s="100"/>
      <c r="E133" s="100"/>
      <c r="F133" s="100"/>
      <c r="G133" s="100"/>
      <c r="H133" s="100"/>
      <c r="I133" s="100"/>
      <c r="K133" s="100"/>
      <c r="L133" s="100"/>
      <c r="M133" s="100"/>
      <c r="N133" s="100"/>
    </row>
    <row r="134" spans="1:14" x14ac:dyDescent="0.2">
      <c r="A134" s="100"/>
      <c r="B134" s="100"/>
      <c r="C134" s="100"/>
      <c r="D134" s="100"/>
      <c r="E134" s="100"/>
      <c r="F134" s="100"/>
      <c r="G134" s="100"/>
      <c r="H134" s="100"/>
      <c r="I134" s="100"/>
      <c r="K134" s="100"/>
      <c r="L134" s="100"/>
      <c r="M134" s="100"/>
      <c r="N134" s="100"/>
    </row>
    <row r="135" spans="1:14" x14ac:dyDescent="0.2">
      <c r="A135" s="100"/>
      <c r="B135" s="100"/>
      <c r="C135" s="100"/>
      <c r="D135" s="100"/>
      <c r="E135" s="100"/>
      <c r="F135" s="100"/>
      <c r="G135" s="100"/>
      <c r="H135" s="100"/>
      <c r="I135" s="100"/>
      <c r="K135" s="100"/>
      <c r="L135" s="100"/>
      <c r="M135" s="100"/>
      <c r="N135" s="100"/>
    </row>
    <row r="136" spans="1:14" x14ac:dyDescent="0.2">
      <c r="A136" s="100"/>
      <c r="B136" s="100"/>
      <c r="C136" s="100"/>
      <c r="D136" s="100"/>
      <c r="E136" s="100"/>
      <c r="F136" s="100"/>
      <c r="G136" s="100"/>
      <c r="H136" s="100"/>
      <c r="I136" s="100"/>
      <c r="K136" s="100"/>
      <c r="L136" s="100"/>
      <c r="M136" s="100"/>
      <c r="N136" s="100"/>
    </row>
    <row r="137" spans="1:14" x14ac:dyDescent="0.2">
      <c r="A137" s="100"/>
      <c r="B137" s="100"/>
      <c r="C137" s="100"/>
      <c r="D137" s="100"/>
      <c r="E137" s="100"/>
      <c r="F137" s="100"/>
      <c r="G137" s="100"/>
      <c r="H137" s="100"/>
      <c r="I137" s="100"/>
      <c r="K137" s="100"/>
      <c r="L137" s="100"/>
      <c r="M137" s="100"/>
      <c r="N137" s="100"/>
    </row>
    <row r="138" spans="1:14" x14ac:dyDescent="0.2">
      <c r="A138" s="100"/>
      <c r="B138" s="100"/>
      <c r="C138" s="100"/>
      <c r="D138" s="100"/>
      <c r="E138" s="100"/>
      <c r="F138" s="100"/>
      <c r="G138" s="100"/>
      <c r="H138" s="100"/>
      <c r="I138" s="100"/>
      <c r="K138" s="100"/>
      <c r="L138" s="100"/>
      <c r="M138" s="100"/>
      <c r="N138" s="100"/>
    </row>
    <row r="139" spans="1:14" x14ac:dyDescent="0.2">
      <c r="A139" s="100"/>
      <c r="B139" s="100"/>
      <c r="C139" s="100"/>
      <c r="D139" s="100"/>
      <c r="E139" s="100"/>
      <c r="F139" s="100"/>
      <c r="G139" s="100"/>
      <c r="H139" s="100"/>
      <c r="I139" s="100"/>
      <c r="K139" s="100"/>
      <c r="L139" s="100"/>
      <c r="M139" s="100"/>
      <c r="N139" s="100"/>
    </row>
    <row r="140" spans="1:14" x14ac:dyDescent="0.2">
      <c r="A140" s="100"/>
      <c r="B140" s="100"/>
      <c r="C140" s="100"/>
      <c r="D140" s="100"/>
      <c r="E140" s="100"/>
      <c r="F140" s="100"/>
      <c r="G140" s="100"/>
      <c r="H140" s="100"/>
      <c r="I140" s="100"/>
      <c r="K140" s="100"/>
      <c r="L140" s="100"/>
      <c r="M140" s="100"/>
      <c r="N140" s="100"/>
    </row>
    <row r="141" spans="1:14" x14ac:dyDescent="0.2">
      <c r="A141" s="100"/>
      <c r="B141" s="100"/>
      <c r="C141" s="100"/>
      <c r="D141" s="100"/>
      <c r="E141" s="100"/>
      <c r="F141" s="100"/>
      <c r="G141" s="100"/>
      <c r="H141" s="100"/>
      <c r="I141" s="100"/>
      <c r="K141" s="100"/>
      <c r="L141" s="100"/>
      <c r="M141" s="100"/>
      <c r="N141" s="100"/>
    </row>
    <row r="142" spans="1:14" x14ac:dyDescent="0.2">
      <c r="A142" s="100"/>
      <c r="B142" s="100"/>
      <c r="C142" s="100"/>
      <c r="D142" s="100"/>
      <c r="E142" s="100"/>
      <c r="F142" s="100"/>
      <c r="G142" s="100"/>
      <c r="H142" s="100"/>
      <c r="I142" s="100"/>
      <c r="K142" s="100"/>
      <c r="L142" s="100"/>
      <c r="M142" s="100"/>
      <c r="N142" s="100"/>
    </row>
    <row r="143" spans="1:14" x14ac:dyDescent="0.2">
      <c r="A143" s="100"/>
      <c r="B143" s="100"/>
      <c r="C143" s="100"/>
      <c r="D143" s="100"/>
      <c r="E143" s="100"/>
      <c r="F143" s="100"/>
      <c r="G143" s="100"/>
      <c r="H143" s="100"/>
      <c r="I143" s="100"/>
      <c r="K143" s="100"/>
      <c r="L143" s="100"/>
      <c r="M143" s="100"/>
      <c r="N143" s="100"/>
    </row>
    <row r="144" spans="1:14" x14ac:dyDescent="0.2">
      <c r="A144" s="100"/>
      <c r="B144" s="100"/>
      <c r="C144" s="100"/>
      <c r="D144" s="100"/>
      <c r="E144" s="100"/>
      <c r="F144" s="100"/>
      <c r="G144" s="100"/>
      <c r="H144" s="100"/>
      <c r="I144" s="100"/>
      <c r="K144" s="100"/>
      <c r="L144" s="100"/>
      <c r="M144" s="100"/>
      <c r="N144" s="100"/>
    </row>
    <row r="145" spans="1:14" x14ac:dyDescent="0.2">
      <c r="A145" s="100"/>
      <c r="B145" s="100"/>
      <c r="C145" s="100"/>
      <c r="D145" s="100"/>
      <c r="E145" s="100"/>
      <c r="F145" s="100"/>
      <c r="G145" s="100"/>
      <c r="H145" s="100"/>
      <c r="I145" s="100"/>
      <c r="K145" s="100"/>
      <c r="L145" s="100"/>
      <c r="M145" s="100"/>
      <c r="N145" s="100"/>
    </row>
    <row r="146" spans="1:14" x14ac:dyDescent="0.2">
      <c r="A146" s="100"/>
      <c r="B146" s="100"/>
      <c r="C146" s="100"/>
      <c r="D146" s="100"/>
      <c r="E146" s="100"/>
      <c r="F146" s="100"/>
      <c r="G146" s="100"/>
      <c r="H146" s="100"/>
      <c r="I146" s="100"/>
      <c r="K146" s="100"/>
      <c r="L146" s="100"/>
      <c r="M146" s="100"/>
      <c r="N146" s="100"/>
    </row>
    <row r="147" spans="1:14" x14ac:dyDescent="0.2">
      <c r="A147" s="100"/>
      <c r="B147" s="100"/>
      <c r="C147" s="100"/>
      <c r="D147" s="100"/>
      <c r="E147" s="100"/>
      <c r="F147" s="100"/>
      <c r="G147" s="100"/>
      <c r="H147" s="100"/>
      <c r="I147" s="100"/>
      <c r="K147" s="100"/>
      <c r="L147" s="100"/>
      <c r="M147" s="100"/>
      <c r="N147" s="100"/>
    </row>
    <row r="148" spans="1:14" x14ac:dyDescent="0.2">
      <c r="A148" s="100"/>
      <c r="B148" s="100"/>
      <c r="C148" s="100"/>
      <c r="D148" s="100"/>
      <c r="E148" s="100"/>
      <c r="F148" s="100"/>
      <c r="G148" s="100"/>
      <c r="H148" s="100"/>
      <c r="I148" s="100"/>
      <c r="K148" s="100"/>
      <c r="L148" s="100"/>
      <c r="M148" s="100"/>
      <c r="N148" s="100"/>
    </row>
    <row r="149" spans="1:14" x14ac:dyDescent="0.2">
      <c r="A149" s="100"/>
      <c r="B149" s="100"/>
      <c r="C149" s="100"/>
      <c r="D149" s="100"/>
      <c r="E149" s="100"/>
      <c r="F149" s="100"/>
      <c r="G149" s="100"/>
      <c r="H149" s="100"/>
      <c r="I149" s="100"/>
      <c r="K149" s="100"/>
      <c r="L149" s="100"/>
      <c r="M149" s="100"/>
      <c r="N149" s="100"/>
    </row>
    <row r="150" spans="1:14" x14ac:dyDescent="0.2">
      <c r="A150" s="100"/>
      <c r="B150" s="100"/>
      <c r="C150" s="100"/>
      <c r="D150" s="100"/>
      <c r="E150" s="100"/>
      <c r="F150" s="100"/>
      <c r="G150" s="100"/>
      <c r="H150" s="100"/>
      <c r="I150" s="100"/>
      <c r="K150" s="100"/>
      <c r="L150" s="100"/>
      <c r="M150" s="100"/>
      <c r="N150" s="100"/>
    </row>
    <row r="151" spans="1:14" x14ac:dyDescent="0.2">
      <c r="A151" s="100"/>
      <c r="B151" s="100"/>
      <c r="C151" s="100"/>
      <c r="D151" s="100"/>
      <c r="E151" s="100"/>
      <c r="F151" s="100"/>
      <c r="G151" s="100"/>
      <c r="H151" s="100"/>
      <c r="I151" s="100"/>
      <c r="K151" s="100"/>
      <c r="L151" s="100"/>
      <c r="M151" s="100"/>
      <c r="N151" s="100"/>
    </row>
    <row r="152" spans="1:14" x14ac:dyDescent="0.2">
      <c r="A152" s="100"/>
      <c r="B152" s="100"/>
      <c r="C152" s="100"/>
      <c r="D152" s="100"/>
      <c r="E152" s="100"/>
      <c r="F152" s="100"/>
      <c r="G152" s="100"/>
      <c r="H152" s="100"/>
      <c r="I152" s="100"/>
      <c r="K152" s="100"/>
      <c r="L152" s="100"/>
      <c r="M152" s="100"/>
      <c r="N152" s="100"/>
    </row>
    <row r="153" spans="1:14" x14ac:dyDescent="0.2">
      <c r="A153" s="100"/>
      <c r="B153" s="100"/>
      <c r="C153" s="100"/>
      <c r="D153" s="100"/>
      <c r="E153" s="100"/>
      <c r="F153" s="100"/>
      <c r="G153" s="100"/>
      <c r="H153" s="100"/>
      <c r="I153" s="100"/>
      <c r="K153" s="100"/>
      <c r="L153" s="100"/>
      <c r="M153" s="100"/>
      <c r="N153" s="100"/>
    </row>
    <row r="154" spans="1:14" x14ac:dyDescent="0.2">
      <c r="A154" s="100"/>
      <c r="B154" s="100"/>
      <c r="C154" s="100"/>
      <c r="D154" s="100"/>
      <c r="E154" s="100"/>
      <c r="F154" s="100"/>
      <c r="G154" s="100"/>
      <c r="H154" s="100"/>
      <c r="I154" s="100"/>
      <c r="K154" s="100"/>
      <c r="L154" s="100"/>
      <c r="M154" s="100"/>
      <c r="N154" s="100"/>
    </row>
    <row r="155" spans="1:14" x14ac:dyDescent="0.2">
      <c r="A155" s="100"/>
      <c r="B155" s="100"/>
      <c r="C155" s="100"/>
      <c r="D155" s="100"/>
      <c r="E155" s="100"/>
      <c r="F155" s="100"/>
      <c r="G155" s="100"/>
      <c r="H155" s="100"/>
      <c r="I155" s="100"/>
      <c r="K155" s="100"/>
      <c r="L155" s="100"/>
      <c r="M155" s="100"/>
      <c r="N155" s="100"/>
    </row>
    <row r="156" spans="1:14" x14ac:dyDescent="0.2">
      <c r="A156" s="100"/>
      <c r="B156" s="100"/>
      <c r="C156" s="100"/>
      <c r="D156" s="100"/>
      <c r="E156" s="100"/>
      <c r="F156" s="100"/>
      <c r="G156" s="100"/>
      <c r="H156" s="100"/>
      <c r="I156" s="100"/>
      <c r="K156" s="100"/>
      <c r="L156" s="100"/>
      <c r="M156" s="100"/>
      <c r="N156" s="100"/>
    </row>
    <row r="157" spans="1:14" x14ac:dyDescent="0.2">
      <c r="A157" s="100"/>
      <c r="B157" s="100"/>
      <c r="C157" s="100"/>
      <c r="D157" s="100"/>
      <c r="E157" s="100"/>
      <c r="F157" s="100"/>
      <c r="G157" s="100"/>
      <c r="H157" s="100"/>
      <c r="I157" s="100"/>
      <c r="K157" s="100"/>
      <c r="L157" s="100"/>
      <c r="M157" s="100"/>
      <c r="N157" s="100"/>
    </row>
    <row r="158" spans="1:14" x14ac:dyDescent="0.2">
      <c r="A158" s="100"/>
      <c r="B158" s="100"/>
      <c r="C158" s="100"/>
      <c r="D158" s="100"/>
      <c r="E158" s="100"/>
      <c r="F158" s="100"/>
      <c r="G158" s="100"/>
      <c r="H158" s="100"/>
      <c r="I158" s="100"/>
      <c r="K158" s="100"/>
      <c r="L158" s="100"/>
      <c r="M158" s="100"/>
      <c r="N158" s="100"/>
    </row>
    <row r="159" spans="1:14" x14ac:dyDescent="0.2">
      <c r="A159" s="100"/>
      <c r="B159" s="100"/>
      <c r="C159" s="100"/>
      <c r="D159" s="100"/>
      <c r="E159" s="100"/>
      <c r="F159" s="100"/>
      <c r="G159" s="100"/>
      <c r="H159" s="100"/>
      <c r="I159" s="100"/>
      <c r="K159" s="100"/>
      <c r="L159" s="100"/>
      <c r="M159" s="100"/>
      <c r="N159" s="100"/>
    </row>
    <row r="160" spans="1:14" x14ac:dyDescent="0.2">
      <c r="A160" s="100"/>
      <c r="B160" s="100"/>
      <c r="C160" s="100"/>
      <c r="D160" s="100"/>
      <c r="E160" s="100"/>
      <c r="F160" s="100"/>
      <c r="G160" s="100"/>
      <c r="H160" s="100"/>
      <c r="I160" s="100"/>
      <c r="K160" s="100"/>
      <c r="L160" s="100"/>
      <c r="M160" s="100"/>
      <c r="N160" s="100"/>
    </row>
    <row r="161" spans="1:14" x14ac:dyDescent="0.2">
      <c r="A161" s="100"/>
      <c r="B161" s="100"/>
      <c r="C161" s="100"/>
      <c r="D161" s="100"/>
      <c r="E161" s="100"/>
      <c r="F161" s="100"/>
      <c r="G161" s="100"/>
      <c r="H161" s="100"/>
      <c r="I161" s="100"/>
      <c r="K161" s="100"/>
      <c r="L161" s="100"/>
      <c r="M161" s="100"/>
      <c r="N161" s="100"/>
    </row>
    <row r="162" spans="1:14" x14ac:dyDescent="0.2">
      <c r="A162" s="100"/>
      <c r="B162" s="100"/>
      <c r="C162" s="100"/>
      <c r="D162" s="100"/>
      <c r="E162" s="100"/>
      <c r="F162" s="100"/>
      <c r="G162" s="100"/>
      <c r="H162" s="100"/>
      <c r="I162" s="100"/>
      <c r="K162" s="100"/>
      <c r="L162" s="100"/>
      <c r="M162" s="100"/>
      <c r="N162" s="100"/>
    </row>
    <row r="163" spans="1:14" x14ac:dyDescent="0.2">
      <c r="A163" s="100"/>
      <c r="B163" s="100"/>
      <c r="C163" s="100"/>
      <c r="D163" s="100"/>
      <c r="E163" s="100"/>
      <c r="F163" s="100"/>
      <c r="G163" s="100"/>
      <c r="H163" s="100"/>
      <c r="I163" s="100"/>
      <c r="K163" s="100"/>
      <c r="L163" s="100"/>
      <c r="M163" s="100"/>
      <c r="N163" s="100"/>
    </row>
    <row r="164" spans="1:14" x14ac:dyDescent="0.2">
      <c r="A164" s="100"/>
      <c r="B164" s="100"/>
      <c r="C164" s="100"/>
      <c r="D164" s="100"/>
      <c r="E164" s="100"/>
      <c r="F164" s="100"/>
      <c r="G164" s="100"/>
      <c r="H164" s="100"/>
      <c r="I164" s="100"/>
      <c r="K164" s="100"/>
      <c r="L164" s="100"/>
      <c r="M164" s="100"/>
      <c r="N164" s="100"/>
    </row>
    <row r="165" spans="1:14" x14ac:dyDescent="0.2">
      <c r="A165" s="100"/>
      <c r="B165" s="100"/>
      <c r="C165" s="100"/>
      <c r="D165" s="100"/>
      <c r="E165" s="100"/>
      <c r="F165" s="100"/>
      <c r="G165" s="100"/>
      <c r="H165" s="100"/>
      <c r="I165" s="100"/>
      <c r="K165" s="100"/>
      <c r="L165" s="100"/>
      <c r="M165" s="100"/>
      <c r="N165" s="100"/>
    </row>
    <row r="166" spans="1:14" x14ac:dyDescent="0.2">
      <c r="A166" s="100"/>
      <c r="B166" s="100"/>
      <c r="C166" s="100"/>
      <c r="D166" s="100"/>
      <c r="E166" s="100"/>
      <c r="F166" s="100"/>
      <c r="G166" s="100"/>
      <c r="H166" s="100"/>
      <c r="I166" s="100"/>
      <c r="K166" s="100"/>
      <c r="L166" s="100"/>
      <c r="M166" s="100"/>
      <c r="N166" s="100"/>
    </row>
    <row r="167" spans="1:14" x14ac:dyDescent="0.2">
      <c r="A167" s="100"/>
      <c r="B167" s="100"/>
      <c r="C167" s="100"/>
      <c r="D167" s="100"/>
      <c r="E167" s="100"/>
      <c r="F167" s="100"/>
      <c r="G167" s="100"/>
      <c r="H167" s="100"/>
      <c r="I167" s="100"/>
      <c r="K167" s="100"/>
      <c r="L167" s="100"/>
      <c r="M167" s="100"/>
      <c r="N167" s="100"/>
    </row>
    <row r="168" spans="1:14" x14ac:dyDescent="0.2">
      <c r="A168" s="100"/>
      <c r="B168" s="100"/>
      <c r="C168" s="100"/>
      <c r="D168" s="100"/>
      <c r="E168" s="100"/>
      <c r="F168" s="100"/>
      <c r="G168" s="100"/>
      <c r="H168" s="100"/>
      <c r="I168" s="100"/>
      <c r="K168" s="100"/>
      <c r="L168" s="100"/>
      <c r="M168" s="100"/>
      <c r="N168" s="100"/>
    </row>
    <row r="169" spans="1:14" x14ac:dyDescent="0.2">
      <c r="A169" s="100"/>
      <c r="B169" s="100"/>
      <c r="C169" s="100"/>
      <c r="D169" s="100"/>
      <c r="E169" s="100"/>
      <c r="F169" s="100"/>
      <c r="G169" s="100"/>
      <c r="H169" s="100"/>
      <c r="I169" s="100"/>
      <c r="K169" s="100"/>
      <c r="L169" s="100"/>
      <c r="M169" s="100"/>
      <c r="N169" s="100"/>
    </row>
    <row r="170" spans="1:14" x14ac:dyDescent="0.2">
      <c r="A170" s="100"/>
      <c r="B170" s="100"/>
      <c r="C170" s="100"/>
      <c r="D170" s="100"/>
      <c r="E170" s="100"/>
      <c r="F170" s="100"/>
      <c r="G170" s="100"/>
      <c r="H170" s="100"/>
      <c r="I170" s="100"/>
      <c r="K170" s="100"/>
      <c r="L170" s="100"/>
      <c r="M170" s="100"/>
      <c r="N170" s="100"/>
    </row>
    <row r="171" spans="1:14" x14ac:dyDescent="0.2">
      <c r="A171" s="100"/>
      <c r="B171" s="100"/>
      <c r="C171" s="100"/>
      <c r="D171" s="100"/>
      <c r="E171" s="100"/>
      <c r="F171" s="100"/>
      <c r="G171" s="100"/>
      <c r="H171" s="100"/>
      <c r="I171" s="100"/>
      <c r="K171" s="100"/>
      <c r="L171" s="100"/>
      <c r="M171" s="100"/>
      <c r="N171" s="100"/>
    </row>
    <row r="172" spans="1:14" x14ac:dyDescent="0.2">
      <c r="A172" s="100"/>
      <c r="B172" s="100"/>
      <c r="C172" s="100"/>
      <c r="D172" s="100"/>
      <c r="E172" s="100"/>
      <c r="F172" s="100"/>
      <c r="G172" s="100"/>
      <c r="H172" s="100"/>
      <c r="I172" s="100"/>
      <c r="K172" s="100"/>
      <c r="L172" s="100"/>
      <c r="M172" s="100"/>
      <c r="N172" s="100"/>
    </row>
    <row r="173" spans="1:14" x14ac:dyDescent="0.2">
      <c r="A173" s="100"/>
      <c r="B173" s="100"/>
      <c r="C173" s="100"/>
      <c r="D173" s="100"/>
      <c r="E173" s="100"/>
      <c r="F173" s="100"/>
      <c r="G173" s="100"/>
      <c r="H173" s="100"/>
      <c r="I173" s="100"/>
      <c r="K173" s="100"/>
      <c r="L173" s="100"/>
      <c r="M173" s="100"/>
      <c r="N173" s="100"/>
    </row>
    <row r="174" spans="1:14" x14ac:dyDescent="0.2">
      <c r="A174" s="100"/>
      <c r="B174" s="100"/>
      <c r="C174" s="100"/>
      <c r="D174" s="100"/>
      <c r="E174" s="100"/>
      <c r="F174" s="100"/>
      <c r="G174" s="100"/>
      <c r="H174" s="100"/>
      <c r="I174" s="100"/>
      <c r="K174" s="100"/>
      <c r="L174" s="100"/>
      <c r="M174" s="100"/>
      <c r="N174" s="100"/>
    </row>
    <row r="175" spans="1:14" x14ac:dyDescent="0.2">
      <c r="A175" s="100"/>
      <c r="B175" s="100"/>
      <c r="C175" s="100"/>
      <c r="D175" s="100"/>
      <c r="E175" s="100"/>
      <c r="F175" s="100"/>
      <c r="G175" s="100"/>
      <c r="H175" s="100"/>
      <c r="I175" s="100"/>
      <c r="K175" s="100"/>
      <c r="L175" s="100"/>
      <c r="M175" s="100"/>
      <c r="N175" s="100"/>
    </row>
    <row r="176" spans="1:14" x14ac:dyDescent="0.2">
      <c r="A176" s="100"/>
      <c r="B176" s="100"/>
      <c r="C176" s="100"/>
      <c r="D176" s="100"/>
      <c r="E176" s="100"/>
      <c r="F176" s="100"/>
      <c r="G176" s="100"/>
      <c r="H176" s="100"/>
      <c r="I176" s="100"/>
      <c r="K176" s="100"/>
      <c r="L176" s="100"/>
      <c r="M176" s="100"/>
      <c r="N176" s="100"/>
    </row>
    <row r="177" spans="1:14" x14ac:dyDescent="0.2">
      <c r="A177" s="100"/>
      <c r="B177" s="100"/>
      <c r="C177" s="100"/>
      <c r="D177" s="100"/>
      <c r="E177" s="100"/>
      <c r="F177" s="100"/>
      <c r="G177" s="100"/>
      <c r="H177" s="100"/>
      <c r="I177" s="100"/>
      <c r="K177" s="100"/>
      <c r="L177" s="100"/>
      <c r="M177" s="100"/>
      <c r="N177" s="100"/>
    </row>
    <row r="178" spans="1:14" x14ac:dyDescent="0.2">
      <c r="A178" s="100"/>
      <c r="B178" s="100"/>
      <c r="C178" s="100"/>
      <c r="D178" s="100"/>
      <c r="E178" s="100"/>
      <c r="F178" s="100"/>
      <c r="G178" s="100"/>
      <c r="H178" s="100"/>
      <c r="I178" s="100"/>
      <c r="K178" s="100"/>
      <c r="L178" s="100"/>
      <c r="M178" s="100"/>
      <c r="N178" s="100"/>
    </row>
    <row r="179" spans="1:14" x14ac:dyDescent="0.2">
      <c r="A179" s="100"/>
      <c r="B179" s="100"/>
      <c r="C179" s="100"/>
      <c r="D179" s="100"/>
      <c r="E179" s="100"/>
      <c r="F179" s="100"/>
      <c r="G179" s="100"/>
      <c r="H179" s="100"/>
      <c r="I179" s="100"/>
      <c r="K179" s="100"/>
      <c r="L179" s="100"/>
      <c r="M179" s="100"/>
      <c r="N179" s="100"/>
    </row>
    <row r="180" spans="1:14" x14ac:dyDescent="0.2">
      <c r="A180" s="100"/>
      <c r="B180" s="100"/>
      <c r="C180" s="100"/>
      <c r="D180" s="100"/>
      <c r="E180" s="100"/>
      <c r="F180" s="100"/>
      <c r="G180" s="100"/>
      <c r="H180" s="100"/>
      <c r="I180" s="100"/>
      <c r="K180" s="100"/>
      <c r="L180" s="100"/>
      <c r="M180" s="100"/>
      <c r="N180" s="100"/>
    </row>
    <row r="181" spans="1:14" x14ac:dyDescent="0.2">
      <c r="A181" s="100"/>
      <c r="B181" s="100"/>
      <c r="C181" s="100"/>
      <c r="D181" s="100"/>
      <c r="E181" s="100"/>
      <c r="F181" s="100"/>
      <c r="G181" s="100"/>
      <c r="H181" s="100"/>
      <c r="I181" s="100"/>
      <c r="K181" s="100"/>
      <c r="L181" s="100"/>
      <c r="M181" s="100"/>
      <c r="N181" s="100"/>
    </row>
    <row r="182" spans="1:14" x14ac:dyDescent="0.2">
      <c r="A182" s="100"/>
      <c r="B182" s="100"/>
      <c r="C182" s="100"/>
      <c r="D182" s="100"/>
      <c r="E182" s="100"/>
      <c r="F182" s="100"/>
      <c r="G182" s="100"/>
      <c r="H182" s="100"/>
      <c r="I182" s="100"/>
      <c r="K182" s="100"/>
      <c r="L182" s="100"/>
      <c r="M182" s="100"/>
      <c r="N182" s="100"/>
    </row>
    <row r="183" spans="1:14" x14ac:dyDescent="0.2">
      <c r="A183" s="100"/>
      <c r="B183" s="100"/>
      <c r="C183" s="100"/>
      <c r="D183" s="100"/>
      <c r="E183" s="100"/>
      <c r="F183" s="100"/>
      <c r="G183" s="100"/>
      <c r="H183" s="100"/>
      <c r="I183" s="100"/>
      <c r="K183" s="100"/>
      <c r="L183" s="100"/>
      <c r="M183" s="100"/>
      <c r="N183" s="100"/>
    </row>
    <row r="184" spans="1:14" x14ac:dyDescent="0.2">
      <c r="A184" s="100"/>
      <c r="B184" s="100"/>
      <c r="C184" s="100"/>
      <c r="D184" s="100"/>
      <c r="E184" s="100"/>
      <c r="F184" s="100"/>
      <c r="G184" s="100"/>
      <c r="H184" s="100"/>
      <c r="I184" s="100"/>
      <c r="K184" s="100"/>
      <c r="L184" s="100"/>
      <c r="M184" s="100"/>
      <c r="N184" s="100"/>
    </row>
    <row r="185" spans="1:14" x14ac:dyDescent="0.2">
      <c r="A185" s="100"/>
      <c r="B185" s="100"/>
      <c r="C185" s="100"/>
      <c r="D185" s="100"/>
      <c r="E185" s="100"/>
      <c r="F185" s="100"/>
      <c r="G185" s="100"/>
      <c r="H185" s="100"/>
      <c r="I185" s="100"/>
      <c r="K185" s="100"/>
      <c r="L185" s="100"/>
      <c r="M185" s="100"/>
      <c r="N185" s="100"/>
    </row>
    <row r="186" spans="1:14" x14ac:dyDescent="0.2">
      <c r="A186" s="100"/>
      <c r="B186" s="100"/>
      <c r="C186" s="100"/>
      <c r="D186" s="100"/>
      <c r="E186" s="100"/>
      <c r="F186" s="100"/>
      <c r="G186" s="100"/>
      <c r="H186" s="100"/>
      <c r="I186" s="100"/>
      <c r="K186" s="100"/>
      <c r="L186" s="100"/>
      <c r="M186" s="100"/>
      <c r="N186" s="100"/>
    </row>
    <row r="187" spans="1:14" x14ac:dyDescent="0.2">
      <c r="A187" s="100"/>
      <c r="B187" s="100"/>
      <c r="C187" s="100"/>
      <c r="D187" s="100"/>
      <c r="E187" s="100"/>
      <c r="F187" s="100"/>
      <c r="G187" s="100"/>
      <c r="H187" s="100"/>
      <c r="I187" s="100"/>
      <c r="K187" s="100"/>
      <c r="L187" s="100"/>
      <c r="M187" s="100"/>
      <c r="N187" s="100"/>
    </row>
    <row r="188" spans="1:14" x14ac:dyDescent="0.2">
      <c r="A188" s="100"/>
      <c r="B188" s="100"/>
      <c r="C188" s="100"/>
      <c r="D188" s="100"/>
      <c r="E188" s="100"/>
      <c r="F188" s="100"/>
      <c r="G188" s="100"/>
      <c r="H188" s="100"/>
      <c r="I188" s="100"/>
      <c r="K188" s="100"/>
      <c r="L188" s="100"/>
      <c r="M188" s="100"/>
      <c r="N188" s="100"/>
    </row>
    <row r="189" spans="1:14" x14ac:dyDescent="0.2">
      <c r="A189" s="100"/>
      <c r="B189" s="100"/>
      <c r="C189" s="100"/>
      <c r="D189" s="100"/>
      <c r="E189" s="100"/>
      <c r="F189" s="100"/>
      <c r="G189" s="100"/>
      <c r="H189" s="100"/>
      <c r="I189" s="100"/>
      <c r="K189" s="100"/>
      <c r="L189" s="100"/>
      <c r="M189" s="100"/>
      <c r="N189" s="100"/>
    </row>
    <row r="190" spans="1:14" x14ac:dyDescent="0.2">
      <c r="A190" s="100"/>
      <c r="B190" s="100"/>
      <c r="C190" s="100"/>
      <c r="D190" s="100"/>
      <c r="E190" s="100"/>
      <c r="F190" s="100"/>
      <c r="G190" s="100"/>
      <c r="H190" s="100"/>
      <c r="I190" s="100"/>
      <c r="K190" s="100"/>
      <c r="L190" s="100"/>
      <c r="M190" s="100"/>
      <c r="N190" s="100"/>
    </row>
    <row r="191" spans="1:14" x14ac:dyDescent="0.2">
      <c r="A191" s="100"/>
      <c r="B191" s="100"/>
      <c r="C191" s="100"/>
      <c r="D191" s="100"/>
      <c r="E191" s="100"/>
      <c r="F191" s="100"/>
      <c r="G191" s="100"/>
      <c r="H191" s="100"/>
      <c r="I191" s="100"/>
      <c r="K191" s="100"/>
      <c r="L191" s="100"/>
      <c r="M191" s="100"/>
      <c r="N191" s="100"/>
    </row>
    <row r="192" spans="1:14" x14ac:dyDescent="0.2">
      <c r="A192" s="100"/>
      <c r="B192" s="100"/>
      <c r="C192" s="100"/>
      <c r="D192" s="100"/>
      <c r="E192" s="100"/>
      <c r="F192" s="100"/>
      <c r="G192" s="100"/>
      <c r="H192" s="100"/>
      <c r="I192" s="100"/>
      <c r="K192" s="100"/>
      <c r="L192" s="100"/>
      <c r="M192" s="100"/>
      <c r="N192" s="100"/>
    </row>
    <row r="193" spans="1:14" x14ac:dyDescent="0.2">
      <c r="A193" s="100"/>
      <c r="B193" s="100"/>
      <c r="C193" s="100"/>
      <c r="D193" s="100"/>
      <c r="E193" s="100"/>
      <c r="F193" s="100"/>
      <c r="G193" s="100"/>
      <c r="H193" s="100"/>
      <c r="I193" s="100"/>
      <c r="K193" s="100"/>
      <c r="L193" s="100"/>
      <c r="M193" s="100"/>
      <c r="N193" s="100"/>
    </row>
    <row r="194" spans="1:14" x14ac:dyDescent="0.2">
      <c r="A194" s="100"/>
      <c r="B194" s="100"/>
      <c r="C194" s="100"/>
      <c r="D194" s="100"/>
      <c r="E194" s="100"/>
      <c r="F194" s="100"/>
      <c r="G194" s="100"/>
      <c r="H194" s="100"/>
      <c r="I194" s="100"/>
      <c r="K194" s="100"/>
      <c r="L194" s="100"/>
      <c r="M194" s="100"/>
      <c r="N194" s="100"/>
    </row>
    <row r="195" spans="1:14" x14ac:dyDescent="0.2">
      <c r="A195" s="100"/>
      <c r="B195" s="100"/>
      <c r="C195" s="100"/>
      <c r="D195" s="100"/>
      <c r="E195" s="100"/>
      <c r="F195" s="100"/>
      <c r="G195" s="100"/>
      <c r="H195" s="100"/>
      <c r="I195" s="100"/>
      <c r="K195" s="100"/>
      <c r="L195" s="100"/>
      <c r="M195" s="100"/>
      <c r="N195" s="100"/>
    </row>
    <row r="196" spans="1:14" x14ac:dyDescent="0.2">
      <c r="A196" s="100"/>
      <c r="B196" s="100"/>
      <c r="C196" s="100"/>
      <c r="D196" s="100"/>
      <c r="E196" s="100"/>
      <c r="F196" s="100"/>
      <c r="G196" s="100"/>
      <c r="H196" s="100"/>
      <c r="I196" s="100"/>
      <c r="K196" s="100"/>
      <c r="L196" s="100"/>
      <c r="M196" s="100"/>
      <c r="N196" s="100"/>
    </row>
    <row r="197" spans="1:14" x14ac:dyDescent="0.2">
      <c r="A197" s="100"/>
      <c r="B197" s="100"/>
      <c r="C197" s="100"/>
      <c r="D197" s="100"/>
      <c r="E197" s="100"/>
      <c r="F197" s="100"/>
      <c r="G197" s="100"/>
      <c r="H197" s="100"/>
      <c r="I197" s="100"/>
      <c r="K197" s="100"/>
      <c r="L197" s="100"/>
      <c r="M197" s="100"/>
      <c r="N197" s="100"/>
    </row>
    <row r="198" spans="1:14" x14ac:dyDescent="0.2">
      <c r="A198" s="100"/>
      <c r="B198" s="100"/>
      <c r="C198" s="100"/>
      <c r="D198" s="100"/>
      <c r="E198" s="100"/>
      <c r="F198" s="100"/>
      <c r="G198" s="100"/>
      <c r="H198" s="100"/>
      <c r="I198" s="100"/>
      <c r="K198" s="100"/>
      <c r="L198" s="100"/>
      <c r="M198" s="100"/>
      <c r="N198" s="100"/>
    </row>
    <row r="199" spans="1:14" x14ac:dyDescent="0.2">
      <c r="A199" s="100"/>
      <c r="B199" s="100"/>
      <c r="C199" s="100"/>
      <c r="D199" s="100"/>
      <c r="E199" s="100"/>
      <c r="F199" s="100"/>
      <c r="G199" s="100"/>
      <c r="H199" s="100"/>
      <c r="I199" s="100"/>
      <c r="K199" s="100"/>
      <c r="L199" s="100"/>
      <c r="M199" s="100"/>
      <c r="N199" s="100"/>
    </row>
    <row r="200" spans="1:14" x14ac:dyDescent="0.2">
      <c r="A200" s="100"/>
      <c r="B200" s="100"/>
      <c r="C200" s="100"/>
      <c r="D200" s="100"/>
      <c r="E200" s="100"/>
      <c r="F200" s="100"/>
      <c r="G200" s="100"/>
      <c r="H200" s="100"/>
      <c r="I200" s="100"/>
      <c r="K200" s="100"/>
      <c r="L200" s="100"/>
      <c r="M200" s="100"/>
      <c r="N200" s="100"/>
    </row>
    <row r="201" spans="1:14" x14ac:dyDescent="0.2">
      <c r="A201" s="100"/>
      <c r="B201" s="100"/>
      <c r="C201" s="100"/>
      <c r="D201" s="100"/>
      <c r="E201" s="100"/>
      <c r="F201" s="100"/>
      <c r="G201" s="100"/>
      <c r="H201" s="100"/>
      <c r="I201" s="100"/>
      <c r="K201" s="100"/>
      <c r="L201" s="100"/>
      <c r="M201" s="100"/>
      <c r="N201" s="100"/>
    </row>
    <row r="202" spans="1:14" x14ac:dyDescent="0.2">
      <c r="A202" s="100"/>
      <c r="B202" s="100"/>
      <c r="C202" s="100"/>
      <c r="D202" s="100"/>
      <c r="E202" s="100"/>
      <c r="F202" s="100"/>
      <c r="G202" s="100"/>
      <c r="H202" s="100"/>
      <c r="I202" s="100"/>
      <c r="K202" s="100"/>
      <c r="L202" s="100"/>
      <c r="M202" s="100"/>
      <c r="N202" s="100"/>
    </row>
    <row r="203" spans="1:14" x14ac:dyDescent="0.2">
      <c r="A203" s="100"/>
      <c r="B203" s="100"/>
      <c r="C203" s="100"/>
      <c r="D203" s="100"/>
      <c r="E203" s="100"/>
      <c r="F203" s="100"/>
      <c r="G203" s="100"/>
      <c r="H203" s="100"/>
      <c r="I203" s="100"/>
      <c r="K203" s="100"/>
      <c r="L203" s="100"/>
      <c r="M203" s="100"/>
      <c r="N203" s="100"/>
    </row>
    <row r="204" spans="1:14" x14ac:dyDescent="0.2">
      <c r="A204" s="100"/>
      <c r="B204" s="100"/>
      <c r="C204" s="100"/>
      <c r="D204" s="100"/>
      <c r="E204" s="100"/>
      <c r="F204" s="100"/>
      <c r="G204" s="100"/>
      <c r="H204" s="100"/>
      <c r="I204" s="100"/>
      <c r="K204" s="100"/>
      <c r="L204" s="100"/>
      <c r="M204" s="100"/>
      <c r="N204" s="100"/>
    </row>
    <row r="205" spans="1:14" x14ac:dyDescent="0.2">
      <c r="A205" s="100"/>
      <c r="B205" s="100"/>
      <c r="C205" s="100"/>
      <c r="D205" s="100"/>
      <c r="E205" s="100"/>
      <c r="F205" s="100"/>
      <c r="G205" s="100"/>
      <c r="H205" s="100"/>
      <c r="I205" s="100"/>
      <c r="K205" s="100"/>
      <c r="L205" s="100"/>
      <c r="M205" s="100"/>
      <c r="N205" s="100"/>
    </row>
    <row r="206" spans="1:14" x14ac:dyDescent="0.2">
      <c r="A206" s="100"/>
      <c r="B206" s="100"/>
      <c r="C206" s="100"/>
      <c r="D206" s="100"/>
      <c r="E206" s="100"/>
      <c r="F206" s="100"/>
      <c r="G206" s="100"/>
      <c r="H206" s="100"/>
      <c r="I206" s="100"/>
      <c r="K206" s="100"/>
      <c r="L206" s="100"/>
      <c r="M206" s="100"/>
      <c r="N206" s="100"/>
    </row>
    <row r="207" spans="1:14" x14ac:dyDescent="0.2">
      <c r="A207" s="100"/>
      <c r="B207" s="100"/>
      <c r="C207" s="100"/>
      <c r="D207" s="100"/>
      <c r="E207" s="100"/>
      <c r="F207" s="100"/>
      <c r="G207" s="100"/>
      <c r="H207" s="100"/>
      <c r="I207" s="100"/>
      <c r="K207" s="100"/>
      <c r="L207" s="100"/>
      <c r="M207" s="100"/>
      <c r="N207" s="100"/>
    </row>
    <row r="208" spans="1:14" x14ac:dyDescent="0.2">
      <c r="A208" s="100"/>
      <c r="B208" s="100"/>
      <c r="C208" s="100"/>
      <c r="D208" s="100"/>
      <c r="E208" s="100"/>
      <c r="F208" s="100"/>
      <c r="G208" s="100"/>
      <c r="H208" s="100"/>
      <c r="I208" s="100"/>
      <c r="K208" s="100"/>
      <c r="L208" s="100"/>
      <c r="M208" s="100"/>
      <c r="N208" s="100"/>
    </row>
    <row r="209" spans="1:14" x14ac:dyDescent="0.2">
      <c r="A209" s="100"/>
      <c r="B209" s="100"/>
      <c r="C209" s="100"/>
      <c r="D209" s="100"/>
      <c r="E209" s="100"/>
      <c r="F209" s="100"/>
      <c r="G209" s="100"/>
      <c r="H209" s="100"/>
      <c r="I209" s="100"/>
      <c r="K209" s="100"/>
      <c r="L209" s="100"/>
      <c r="M209" s="100"/>
      <c r="N209" s="100"/>
    </row>
    <row r="210" spans="1:14" x14ac:dyDescent="0.2">
      <c r="A210" s="100"/>
      <c r="B210" s="100"/>
      <c r="C210" s="100"/>
      <c r="D210" s="100"/>
      <c r="E210" s="100"/>
      <c r="F210" s="100"/>
      <c r="G210" s="100"/>
      <c r="H210" s="100"/>
      <c r="I210" s="100"/>
      <c r="K210" s="100"/>
      <c r="L210" s="100"/>
      <c r="M210" s="100"/>
      <c r="N210" s="100"/>
    </row>
    <row r="211" spans="1:14" x14ac:dyDescent="0.2">
      <c r="A211" s="100"/>
      <c r="B211" s="100"/>
      <c r="C211" s="100"/>
      <c r="D211" s="100"/>
      <c r="E211" s="100"/>
      <c r="F211" s="100"/>
      <c r="G211" s="100"/>
      <c r="H211" s="100"/>
      <c r="I211" s="100"/>
      <c r="K211" s="100"/>
      <c r="L211" s="100"/>
      <c r="M211" s="100"/>
      <c r="N211" s="100"/>
    </row>
    <row r="212" spans="1:14" x14ac:dyDescent="0.2">
      <c r="A212" s="100"/>
      <c r="B212" s="100"/>
      <c r="C212" s="100"/>
      <c r="D212" s="100"/>
      <c r="E212" s="100"/>
      <c r="F212" s="100"/>
      <c r="G212" s="100"/>
      <c r="H212" s="100"/>
      <c r="I212" s="100"/>
      <c r="K212" s="100"/>
      <c r="L212" s="100"/>
      <c r="M212" s="100"/>
      <c r="N212" s="100"/>
    </row>
    <row r="213" spans="1:14" x14ac:dyDescent="0.2">
      <c r="A213" s="100"/>
      <c r="B213" s="100"/>
      <c r="C213" s="100"/>
      <c r="D213" s="100"/>
      <c r="E213" s="100"/>
      <c r="F213" s="100"/>
      <c r="G213" s="100"/>
      <c r="H213" s="100"/>
      <c r="I213" s="100"/>
      <c r="K213" s="100"/>
      <c r="L213" s="100"/>
      <c r="M213" s="100"/>
      <c r="N213" s="100"/>
    </row>
    <row r="214" spans="1:14" x14ac:dyDescent="0.2">
      <c r="A214" s="100"/>
      <c r="B214" s="100"/>
      <c r="C214" s="100"/>
      <c r="D214" s="100"/>
      <c r="E214" s="100"/>
      <c r="F214" s="100"/>
      <c r="G214" s="100"/>
      <c r="H214" s="100"/>
      <c r="I214" s="100"/>
      <c r="K214" s="100"/>
      <c r="L214" s="100"/>
      <c r="M214" s="100"/>
      <c r="N214" s="100"/>
    </row>
    <row r="215" spans="1:14" x14ac:dyDescent="0.2">
      <c r="A215" s="100"/>
      <c r="B215" s="100"/>
      <c r="C215" s="100"/>
      <c r="D215" s="100"/>
      <c r="E215" s="100"/>
      <c r="F215" s="100"/>
      <c r="G215" s="100"/>
      <c r="H215" s="100"/>
      <c r="I215" s="100"/>
      <c r="K215" s="100"/>
      <c r="L215" s="100"/>
      <c r="M215" s="100"/>
      <c r="N215" s="100"/>
    </row>
    <row r="216" spans="1:14" x14ac:dyDescent="0.2">
      <c r="A216" s="100"/>
      <c r="B216" s="100"/>
      <c r="C216" s="100"/>
      <c r="D216" s="100"/>
      <c r="E216" s="100"/>
      <c r="F216" s="100"/>
      <c r="G216" s="100"/>
      <c r="H216" s="100"/>
      <c r="I216" s="100"/>
      <c r="K216" s="100"/>
      <c r="L216" s="100"/>
      <c r="M216" s="100"/>
      <c r="N216" s="100"/>
    </row>
    <row r="217" spans="1:14" x14ac:dyDescent="0.2">
      <c r="A217" s="100"/>
      <c r="B217" s="100"/>
      <c r="C217" s="100"/>
      <c r="D217" s="100"/>
      <c r="E217" s="100"/>
      <c r="F217" s="100"/>
      <c r="G217" s="100"/>
      <c r="H217" s="100"/>
      <c r="I217" s="100"/>
      <c r="K217" s="100"/>
      <c r="L217" s="100"/>
      <c r="M217" s="100"/>
      <c r="N217" s="100"/>
    </row>
    <row r="218" spans="1:14" x14ac:dyDescent="0.2">
      <c r="A218" s="100"/>
      <c r="B218" s="100"/>
      <c r="C218" s="100"/>
      <c r="D218" s="100"/>
      <c r="E218" s="100"/>
      <c r="F218" s="100"/>
      <c r="G218" s="100"/>
      <c r="H218" s="100"/>
      <c r="I218" s="100"/>
      <c r="K218" s="100"/>
      <c r="L218" s="100"/>
      <c r="M218" s="100"/>
      <c r="N218" s="100"/>
    </row>
    <row r="219" spans="1:14" x14ac:dyDescent="0.2">
      <c r="A219" s="100"/>
      <c r="B219" s="100"/>
      <c r="C219" s="100"/>
      <c r="D219" s="100"/>
      <c r="E219" s="100"/>
      <c r="F219" s="100"/>
      <c r="G219" s="100"/>
      <c r="H219" s="100"/>
      <c r="I219" s="100"/>
      <c r="K219" s="100"/>
      <c r="L219" s="100"/>
      <c r="M219" s="100"/>
      <c r="N219" s="100"/>
    </row>
    <row r="220" spans="1:14" x14ac:dyDescent="0.2">
      <c r="A220" s="100"/>
      <c r="B220" s="100"/>
      <c r="C220" s="100"/>
      <c r="D220" s="100"/>
      <c r="E220" s="100"/>
      <c r="F220" s="100"/>
      <c r="G220" s="100"/>
      <c r="H220" s="100"/>
      <c r="I220" s="100"/>
      <c r="K220" s="100"/>
      <c r="L220" s="100"/>
      <c r="M220" s="100"/>
      <c r="N220" s="100"/>
    </row>
    <row r="221" spans="1:14" x14ac:dyDescent="0.2">
      <c r="A221" s="100"/>
      <c r="B221" s="100"/>
      <c r="C221" s="100"/>
      <c r="D221" s="100"/>
      <c r="E221" s="100"/>
      <c r="F221" s="100"/>
      <c r="G221" s="100"/>
      <c r="H221" s="100"/>
      <c r="I221" s="100"/>
      <c r="K221" s="100"/>
      <c r="L221" s="100"/>
      <c r="M221" s="100"/>
      <c r="N221" s="100"/>
    </row>
    <row r="222" spans="1:14" x14ac:dyDescent="0.2">
      <c r="A222" s="100"/>
      <c r="B222" s="100"/>
      <c r="C222" s="100"/>
      <c r="D222" s="100"/>
      <c r="E222" s="100"/>
      <c r="F222" s="100"/>
      <c r="G222" s="100"/>
      <c r="H222" s="100"/>
      <c r="I222" s="100"/>
      <c r="K222" s="100"/>
      <c r="L222" s="100"/>
      <c r="M222" s="100"/>
      <c r="N222" s="100"/>
    </row>
    <row r="223" spans="1:14" x14ac:dyDescent="0.2">
      <c r="A223" s="100"/>
      <c r="B223" s="100"/>
      <c r="C223" s="100"/>
      <c r="D223" s="100"/>
      <c r="E223" s="100"/>
      <c r="F223" s="100"/>
      <c r="G223" s="100"/>
      <c r="H223" s="100"/>
      <c r="I223" s="100"/>
      <c r="K223" s="100"/>
      <c r="L223" s="100"/>
      <c r="M223" s="100"/>
      <c r="N223" s="100"/>
    </row>
    <row r="224" spans="1:14" x14ac:dyDescent="0.2">
      <c r="A224" s="100"/>
      <c r="B224" s="100"/>
      <c r="C224" s="100"/>
      <c r="D224" s="100"/>
      <c r="E224" s="100"/>
      <c r="F224" s="100"/>
      <c r="G224" s="100"/>
      <c r="H224" s="100"/>
      <c r="I224" s="100"/>
      <c r="K224" s="100"/>
      <c r="L224" s="100"/>
      <c r="M224" s="100"/>
      <c r="N224" s="100"/>
    </row>
    <row r="225" spans="1:14" x14ac:dyDescent="0.2">
      <c r="A225" s="100"/>
      <c r="B225" s="100"/>
      <c r="C225" s="100"/>
      <c r="D225" s="100"/>
      <c r="E225" s="100"/>
      <c r="F225" s="100"/>
      <c r="G225" s="100"/>
      <c r="H225" s="100"/>
      <c r="I225" s="100"/>
      <c r="K225" s="100"/>
      <c r="L225" s="100"/>
      <c r="M225" s="100"/>
      <c r="N225" s="100"/>
    </row>
    <row r="226" spans="1:14" x14ac:dyDescent="0.2">
      <c r="A226" s="100"/>
      <c r="B226" s="100"/>
      <c r="C226" s="100"/>
      <c r="D226" s="100"/>
      <c r="E226" s="100"/>
      <c r="F226" s="100"/>
      <c r="G226" s="100"/>
      <c r="H226" s="100"/>
      <c r="I226" s="100"/>
      <c r="K226" s="100"/>
      <c r="L226" s="100"/>
      <c r="M226" s="100"/>
      <c r="N226" s="100"/>
    </row>
    <row r="227" spans="1:14" x14ac:dyDescent="0.2">
      <c r="A227" s="100"/>
      <c r="B227" s="100"/>
      <c r="C227" s="100"/>
      <c r="D227" s="100"/>
      <c r="E227" s="100"/>
      <c r="F227" s="100"/>
      <c r="G227" s="100"/>
      <c r="H227" s="100"/>
      <c r="I227" s="100"/>
      <c r="K227" s="100"/>
      <c r="L227" s="100"/>
      <c r="M227" s="100"/>
      <c r="N227" s="100"/>
    </row>
    <row r="228" spans="1:14" x14ac:dyDescent="0.2">
      <c r="A228" s="100"/>
      <c r="B228" s="100"/>
      <c r="C228" s="100"/>
      <c r="D228" s="100"/>
      <c r="E228" s="100"/>
      <c r="F228" s="100"/>
      <c r="G228" s="100"/>
      <c r="H228" s="100"/>
      <c r="I228" s="100"/>
      <c r="K228" s="100"/>
      <c r="L228" s="100"/>
      <c r="M228" s="100"/>
      <c r="N228" s="100"/>
    </row>
    <row r="229" spans="1:14" x14ac:dyDescent="0.2">
      <c r="A229" s="100"/>
      <c r="B229" s="100"/>
      <c r="C229" s="100"/>
      <c r="D229" s="100"/>
      <c r="E229" s="100"/>
      <c r="F229" s="100"/>
      <c r="G229" s="100"/>
      <c r="H229" s="100"/>
      <c r="I229" s="100"/>
      <c r="K229" s="100"/>
      <c r="L229" s="100"/>
      <c r="M229" s="100"/>
      <c r="N229" s="100"/>
    </row>
    <row r="230" spans="1:14" x14ac:dyDescent="0.2">
      <c r="A230" s="100"/>
      <c r="B230" s="100"/>
      <c r="C230" s="100"/>
      <c r="D230" s="100"/>
      <c r="E230" s="100"/>
      <c r="F230" s="100"/>
      <c r="G230" s="100"/>
      <c r="H230" s="100"/>
      <c r="I230" s="100"/>
      <c r="K230" s="100"/>
      <c r="L230" s="100"/>
      <c r="M230" s="100"/>
      <c r="N230" s="100"/>
    </row>
    <row r="231" spans="1:14" x14ac:dyDescent="0.2">
      <c r="A231" s="100"/>
      <c r="B231" s="100"/>
      <c r="C231" s="100"/>
      <c r="D231" s="100"/>
      <c r="E231" s="100"/>
      <c r="F231" s="100"/>
      <c r="G231" s="100"/>
      <c r="H231" s="100"/>
      <c r="I231" s="100"/>
      <c r="K231" s="100"/>
      <c r="L231" s="100"/>
      <c r="M231" s="100"/>
      <c r="N231" s="100"/>
    </row>
    <row r="232" spans="1:14" x14ac:dyDescent="0.2">
      <c r="A232" s="100"/>
      <c r="B232" s="100"/>
      <c r="C232" s="100"/>
      <c r="D232" s="100"/>
      <c r="E232" s="100"/>
      <c r="F232" s="100"/>
      <c r="G232" s="100"/>
      <c r="H232" s="100"/>
      <c r="I232" s="100"/>
      <c r="K232" s="100"/>
      <c r="L232" s="100"/>
      <c r="M232" s="100"/>
      <c r="N232" s="100"/>
    </row>
    <row r="233" spans="1:14" x14ac:dyDescent="0.2">
      <c r="A233" s="100"/>
      <c r="B233" s="100"/>
      <c r="C233" s="100"/>
      <c r="D233" s="100"/>
      <c r="E233" s="100"/>
      <c r="F233" s="100"/>
      <c r="G233" s="100"/>
      <c r="H233" s="100"/>
      <c r="I233" s="100"/>
      <c r="K233" s="100"/>
      <c r="L233" s="100"/>
      <c r="M233" s="100"/>
      <c r="N233" s="100"/>
    </row>
    <row r="234" spans="1:14" x14ac:dyDescent="0.2">
      <c r="A234" s="100"/>
      <c r="B234" s="100"/>
      <c r="C234" s="100"/>
      <c r="D234" s="100"/>
      <c r="E234" s="100"/>
      <c r="F234" s="100"/>
      <c r="G234" s="100"/>
      <c r="H234" s="100"/>
      <c r="I234" s="100"/>
      <c r="K234" s="100"/>
      <c r="L234" s="100"/>
      <c r="M234" s="100"/>
      <c r="N234" s="100"/>
    </row>
    <row r="235" spans="1:14" x14ac:dyDescent="0.2">
      <c r="A235" s="100"/>
      <c r="B235" s="100"/>
      <c r="C235" s="100"/>
      <c r="D235" s="100"/>
      <c r="E235" s="100"/>
      <c r="F235" s="100"/>
      <c r="G235" s="100"/>
      <c r="H235" s="100"/>
      <c r="I235" s="100"/>
      <c r="K235" s="100"/>
      <c r="L235" s="100"/>
      <c r="M235" s="100"/>
      <c r="N235" s="100"/>
    </row>
    <row r="236" spans="1:14" x14ac:dyDescent="0.2">
      <c r="A236" s="100"/>
      <c r="B236" s="100"/>
      <c r="C236" s="100"/>
      <c r="D236" s="100"/>
      <c r="E236" s="100"/>
      <c r="F236" s="100"/>
      <c r="G236" s="100"/>
      <c r="H236" s="100"/>
      <c r="I236" s="100"/>
      <c r="K236" s="100"/>
      <c r="L236" s="100"/>
      <c r="M236" s="100"/>
      <c r="N236" s="100"/>
    </row>
    <row r="237" spans="1:14" x14ac:dyDescent="0.2">
      <c r="A237" s="100"/>
      <c r="B237" s="100"/>
      <c r="C237" s="100"/>
      <c r="D237" s="100"/>
      <c r="E237" s="100"/>
      <c r="F237" s="100"/>
      <c r="G237" s="100"/>
      <c r="H237" s="100"/>
      <c r="I237" s="100"/>
      <c r="K237" s="100"/>
      <c r="L237" s="100"/>
      <c r="M237" s="100"/>
      <c r="N237" s="100"/>
    </row>
    <row r="238" spans="1:14" x14ac:dyDescent="0.2">
      <c r="A238" s="100"/>
      <c r="B238" s="100"/>
      <c r="C238" s="100"/>
      <c r="D238" s="100"/>
      <c r="E238" s="100"/>
      <c r="F238" s="100"/>
      <c r="G238" s="100"/>
      <c r="H238" s="100"/>
      <c r="I238" s="100"/>
      <c r="K238" s="100"/>
      <c r="L238" s="100"/>
      <c r="M238" s="100"/>
      <c r="N238" s="100"/>
    </row>
    <row r="239" spans="1:14" x14ac:dyDescent="0.2">
      <c r="A239" s="100"/>
      <c r="B239" s="100"/>
      <c r="C239" s="100"/>
      <c r="D239" s="100"/>
      <c r="E239" s="100"/>
      <c r="F239" s="100"/>
      <c r="G239" s="100"/>
      <c r="H239" s="100"/>
      <c r="I239" s="100"/>
      <c r="K239" s="100"/>
      <c r="L239" s="100"/>
      <c r="M239" s="100"/>
      <c r="N239" s="100"/>
    </row>
    <row r="240" spans="1:14" x14ac:dyDescent="0.2">
      <c r="A240" s="100"/>
      <c r="B240" s="100"/>
      <c r="C240" s="100"/>
      <c r="D240" s="100"/>
      <c r="E240" s="100"/>
      <c r="F240" s="100"/>
      <c r="G240" s="100"/>
      <c r="H240" s="100"/>
      <c r="I240" s="100"/>
      <c r="K240" s="100"/>
      <c r="L240" s="100"/>
      <c r="M240" s="100"/>
      <c r="N240" s="100"/>
    </row>
    <row r="241" spans="1:14" x14ac:dyDescent="0.2">
      <c r="A241" s="100"/>
      <c r="B241" s="100"/>
      <c r="C241" s="100"/>
      <c r="D241" s="100"/>
      <c r="E241" s="100"/>
      <c r="F241" s="100"/>
      <c r="G241" s="100"/>
      <c r="H241" s="100"/>
      <c r="I241" s="100"/>
      <c r="K241" s="100"/>
      <c r="L241" s="100"/>
      <c r="M241" s="100"/>
      <c r="N241" s="100"/>
    </row>
    <row r="242" spans="1:14" x14ac:dyDescent="0.2">
      <c r="A242" s="100"/>
      <c r="B242" s="100"/>
      <c r="C242" s="100"/>
      <c r="D242" s="100"/>
      <c r="E242" s="100"/>
      <c r="F242" s="100"/>
      <c r="G242" s="100"/>
      <c r="H242" s="100"/>
      <c r="I242" s="100"/>
      <c r="K242" s="100"/>
      <c r="L242" s="100"/>
      <c r="M242" s="100"/>
      <c r="N242" s="100"/>
    </row>
    <row r="243" spans="1:14" x14ac:dyDescent="0.2">
      <c r="A243" s="100"/>
      <c r="B243" s="100"/>
      <c r="C243" s="100"/>
      <c r="D243" s="100"/>
      <c r="E243" s="100"/>
      <c r="F243" s="100"/>
      <c r="G243" s="100"/>
      <c r="H243" s="100"/>
      <c r="I243" s="100"/>
      <c r="K243" s="100"/>
      <c r="L243" s="100"/>
      <c r="M243" s="100"/>
      <c r="N243" s="100"/>
    </row>
    <row r="244" spans="1:14" x14ac:dyDescent="0.2">
      <c r="A244" s="100"/>
      <c r="B244" s="100"/>
      <c r="C244" s="100"/>
      <c r="D244" s="100"/>
      <c r="E244" s="100"/>
      <c r="F244" s="100"/>
      <c r="G244" s="100"/>
      <c r="H244" s="100"/>
      <c r="I244" s="100"/>
      <c r="K244" s="100"/>
      <c r="L244" s="100"/>
      <c r="M244" s="100"/>
      <c r="N244" s="100"/>
    </row>
    <row r="245" spans="1:14" x14ac:dyDescent="0.2">
      <c r="A245" s="100"/>
      <c r="B245" s="100"/>
      <c r="C245" s="100"/>
      <c r="D245" s="100"/>
      <c r="E245" s="100"/>
      <c r="F245" s="100"/>
      <c r="G245" s="100"/>
      <c r="H245" s="100"/>
      <c r="I245" s="100"/>
      <c r="K245" s="100"/>
      <c r="L245" s="100"/>
      <c r="M245" s="100"/>
      <c r="N245" s="100"/>
    </row>
    <row r="246" spans="1:14" x14ac:dyDescent="0.2">
      <c r="A246" s="100"/>
      <c r="B246" s="100"/>
      <c r="C246" s="100"/>
      <c r="D246" s="100"/>
      <c r="E246" s="100"/>
      <c r="F246" s="100"/>
      <c r="G246" s="100"/>
      <c r="H246" s="100"/>
      <c r="I246" s="100"/>
      <c r="K246" s="100"/>
      <c r="L246" s="100"/>
      <c r="M246" s="100"/>
      <c r="N246" s="100"/>
    </row>
    <row r="247" spans="1:14" x14ac:dyDescent="0.2">
      <c r="A247" s="100"/>
      <c r="B247" s="100"/>
      <c r="C247" s="100"/>
      <c r="D247" s="100"/>
      <c r="E247" s="100"/>
      <c r="F247" s="100"/>
      <c r="G247" s="100"/>
      <c r="H247" s="100"/>
      <c r="I247" s="100"/>
      <c r="K247" s="100"/>
      <c r="L247" s="100"/>
      <c r="M247" s="100"/>
      <c r="N247" s="100"/>
    </row>
    <row r="248" spans="1:14" x14ac:dyDescent="0.2">
      <c r="A248" s="100"/>
      <c r="B248" s="100"/>
      <c r="C248" s="100"/>
      <c r="D248" s="100"/>
      <c r="E248" s="100"/>
      <c r="F248" s="100"/>
      <c r="G248" s="100"/>
      <c r="H248" s="100"/>
      <c r="I248" s="100"/>
      <c r="K248" s="100"/>
      <c r="L248" s="100"/>
      <c r="M248" s="100"/>
      <c r="N248" s="100"/>
    </row>
    <row r="249" spans="1:14" x14ac:dyDescent="0.2">
      <c r="A249" s="100"/>
      <c r="B249" s="100"/>
      <c r="C249" s="100"/>
      <c r="D249" s="100"/>
      <c r="E249" s="100"/>
      <c r="F249" s="100"/>
      <c r="G249" s="100"/>
      <c r="H249" s="100"/>
      <c r="I249" s="100"/>
      <c r="K249" s="100"/>
      <c r="L249" s="100"/>
      <c r="M249" s="100"/>
      <c r="N249" s="100"/>
    </row>
    <row r="250" spans="1:14" x14ac:dyDescent="0.2">
      <c r="A250" s="100"/>
      <c r="B250" s="100"/>
      <c r="C250" s="100"/>
      <c r="D250" s="100"/>
      <c r="E250" s="100"/>
      <c r="F250" s="100"/>
      <c r="G250" s="100"/>
      <c r="H250" s="100"/>
      <c r="I250" s="100"/>
      <c r="K250" s="100"/>
      <c r="L250" s="100"/>
      <c r="M250" s="100"/>
      <c r="N250" s="100"/>
    </row>
    <row r="251" spans="1:14" x14ac:dyDescent="0.2">
      <c r="A251" s="100"/>
      <c r="B251" s="100"/>
      <c r="C251" s="100"/>
      <c r="D251" s="100"/>
      <c r="E251" s="100"/>
      <c r="F251" s="100"/>
      <c r="G251" s="100"/>
      <c r="H251" s="100"/>
      <c r="I251" s="100"/>
      <c r="K251" s="100"/>
      <c r="L251" s="100"/>
      <c r="M251" s="100"/>
      <c r="N251" s="100"/>
    </row>
    <row r="252" spans="1:14" x14ac:dyDescent="0.2">
      <c r="A252" s="100"/>
      <c r="B252" s="100"/>
      <c r="C252" s="100"/>
      <c r="D252" s="100"/>
      <c r="E252" s="100"/>
      <c r="F252" s="100"/>
      <c r="G252" s="100"/>
      <c r="H252" s="100"/>
      <c r="I252" s="100"/>
      <c r="K252" s="100"/>
      <c r="L252" s="100"/>
      <c r="M252" s="100"/>
      <c r="N252" s="100"/>
    </row>
    <row r="253" spans="1:14" x14ac:dyDescent="0.2">
      <c r="A253" s="100"/>
      <c r="B253" s="100"/>
      <c r="C253" s="100"/>
      <c r="D253" s="100"/>
      <c r="E253" s="100"/>
      <c r="F253" s="100"/>
      <c r="G253" s="100"/>
      <c r="H253" s="100"/>
      <c r="I253" s="100"/>
      <c r="K253" s="100"/>
      <c r="L253" s="100"/>
      <c r="M253" s="100"/>
      <c r="N253" s="100"/>
    </row>
    <row r="254" spans="1:14" x14ac:dyDescent="0.2">
      <c r="A254" s="100"/>
      <c r="B254" s="100"/>
      <c r="C254" s="100"/>
      <c r="D254" s="100"/>
      <c r="E254" s="100"/>
      <c r="F254" s="100"/>
      <c r="G254" s="100"/>
      <c r="H254" s="100"/>
      <c r="I254" s="100"/>
      <c r="K254" s="100"/>
      <c r="L254" s="100"/>
      <c r="M254" s="100"/>
      <c r="N254" s="100"/>
    </row>
    <row r="255" spans="1:14" x14ac:dyDescent="0.2">
      <c r="A255" s="100"/>
      <c r="B255" s="100"/>
      <c r="C255" s="100"/>
      <c r="D255" s="100"/>
      <c r="E255" s="100"/>
      <c r="F255" s="100"/>
      <c r="G255" s="100"/>
      <c r="H255" s="100"/>
      <c r="I255" s="100"/>
      <c r="K255" s="100"/>
      <c r="L255" s="100"/>
      <c r="M255" s="100"/>
      <c r="N255" s="100"/>
    </row>
    <row r="256" spans="1:14" x14ac:dyDescent="0.2">
      <c r="A256" s="100"/>
      <c r="B256" s="100"/>
      <c r="C256" s="100"/>
      <c r="D256" s="100"/>
      <c r="E256" s="100"/>
      <c r="F256" s="100"/>
      <c r="G256" s="100"/>
      <c r="H256" s="100"/>
      <c r="I256" s="100"/>
      <c r="K256" s="100"/>
      <c r="L256" s="100"/>
      <c r="M256" s="100"/>
      <c r="N256" s="100"/>
    </row>
    <row r="257" spans="1:14" x14ac:dyDescent="0.2">
      <c r="A257" s="100"/>
      <c r="B257" s="100"/>
      <c r="C257" s="100"/>
      <c r="D257" s="100"/>
      <c r="E257" s="100"/>
      <c r="F257" s="100"/>
      <c r="G257" s="100"/>
      <c r="H257" s="100"/>
      <c r="I257" s="100"/>
      <c r="K257" s="100"/>
      <c r="L257" s="100"/>
      <c r="M257" s="100"/>
      <c r="N257" s="100"/>
    </row>
    <row r="258" spans="1:14" x14ac:dyDescent="0.2">
      <c r="A258" s="100"/>
      <c r="B258" s="100"/>
      <c r="C258" s="100"/>
      <c r="D258" s="100"/>
      <c r="E258" s="100"/>
      <c r="F258" s="100"/>
      <c r="G258" s="100"/>
      <c r="H258" s="100"/>
      <c r="I258" s="100"/>
      <c r="K258" s="100"/>
      <c r="L258" s="100"/>
      <c r="M258" s="100"/>
      <c r="N258" s="100"/>
    </row>
    <row r="259" spans="1:14" x14ac:dyDescent="0.2">
      <c r="A259" s="100"/>
      <c r="B259" s="100"/>
      <c r="C259" s="100"/>
      <c r="D259" s="100"/>
      <c r="E259" s="100"/>
      <c r="F259" s="100"/>
      <c r="G259" s="100"/>
      <c r="H259" s="100"/>
      <c r="I259" s="100"/>
      <c r="K259" s="100"/>
      <c r="L259" s="100"/>
      <c r="M259" s="100"/>
      <c r="N259" s="100"/>
    </row>
    <row r="260" spans="1:14" x14ac:dyDescent="0.2">
      <c r="A260" s="100"/>
      <c r="B260" s="100"/>
      <c r="C260" s="100"/>
      <c r="D260" s="100"/>
      <c r="E260" s="100"/>
      <c r="F260" s="100"/>
      <c r="G260" s="100"/>
      <c r="H260" s="100"/>
      <c r="I260" s="100"/>
      <c r="K260" s="100"/>
      <c r="L260" s="100"/>
      <c r="M260" s="100"/>
      <c r="N260" s="100"/>
    </row>
    <row r="261" spans="1:14" x14ac:dyDescent="0.2">
      <c r="A261" s="100"/>
      <c r="B261" s="100"/>
      <c r="C261" s="100"/>
      <c r="D261" s="100"/>
      <c r="E261" s="100"/>
      <c r="F261" s="100"/>
      <c r="G261" s="100"/>
      <c r="H261" s="100"/>
      <c r="I261" s="100"/>
      <c r="K261" s="100"/>
      <c r="L261" s="100"/>
      <c r="M261" s="100"/>
      <c r="N261" s="100"/>
    </row>
    <row r="262" spans="1:14" x14ac:dyDescent="0.2">
      <c r="A262" s="100"/>
      <c r="B262" s="100"/>
      <c r="C262" s="100"/>
      <c r="D262" s="100"/>
      <c r="E262" s="100"/>
      <c r="F262" s="100"/>
      <c r="G262" s="100"/>
      <c r="H262" s="100"/>
      <c r="I262" s="100"/>
      <c r="K262" s="100"/>
      <c r="L262" s="100"/>
      <c r="M262" s="100"/>
      <c r="N262" s="100"/>
    </row>
    <row r="263" spans="1:14" x14ac:dyDescent="0.2">
      <c r="A263" s="100"/>
      <c r="B263" s="100"/>
      <c r="C263" s="100"/>
      <c r="D263" s="100"/>
      <c r="E263" s="100"/>
      <c r="F263" s="100"/>
      <c r="G263" s="100"/>
      <c r="H263" s="100"/>
      <c r="I263" s="100"/>
      <c r="K263" s="100"/>
      <c r="L263" s="100"/>
      <c r="M263" s="100"/>
      <c r="N263" s="100"/>
    </row>
    <row r="264" spans="1:14" x14ac:dyDescent="0.2">
      <c r="A264" s="100"/>
      <c r="B264" s="100"/>
      <c r="C264" s="100"/>
      <c r="D264" s="100"/>
      <c r="E264" s="100"/>
      <c r="F264" s="100"/>
      <c r="G264" s="100"/>
      <c r="H264" s="100"/>
      <c r="I264" s="100"/>
      <c r="K264" s="100"/>
      <c r="L264" s="100"/>
      <c r="M264" s="100"/>
      <c r="N264" s="100"/>
    </row>
    <row r="265" spans="1:14" x14ac:dyDescent="0.2">
      <c r="A265" s="100"/>
      <c r="B265" s="100"/>
      <c r="C265" s="100"/>
      <c r="D265" s="100"/>
      <c r="E265" s="100"/>
      <c r="F265" s="100"/>
      <c r="G265" s="100"/>
      <c r="H265" s="100"/>
      <c r="I265" s="100"/>
      <c r="K265" s="100"/>
      <c r="L265" s="100"/>
      <c r="M265" s="100"/>
      <c r="N265" s="100"/>
    </row>
    <row r="266" spans="1:14" x14ac:dyDescent="0.2">
      <c r="A266" s="100"/>
      <c r="B266" s="100"/>
      <c r="C266" s="100"/>
      <c r="D266" s="100"/>
      <c r="E266" s="100"/>
      <c r="F266" s="100"/>
      <c r="G266" s="100"/>
      <c r="H266" s="100"/>
      <c r="I266" s="100"/>
      <c r="K266" s="100"/>
      <c r="L266" s="100"/>
      <c r="M266" s="100"/>
      <c r="N266" s="100"/>
    </row>
    <row r="267" spans="1:14" x14ac:dyDescent="0.2">
      <c r="A267" s="100"/>
      <c r="B267" s="100"/>
      <c r="C267" s="100"/>
      <c r="D267" s="100"/>
      <c r="E267" s="100"/>
      <c r="F267" s="100"/>
      <c r="G267" s="100"/>
      <c r="H267" s="100"/>
      <c r="I267" s="100"/>
      <c r="K267" s="100"/>
      <c r="L267" s="100"/>
      <c r="M267" s="100"/>
      <c r="N267" s="100"/>
    </row>
    <row r="268" spans="1:14" x14ac:dyDescent="0.2">
      <c r="A268" s="100"/>
      <c r="B268" s="100"/>
      <c r="C268" s="100"/>
      <c r="D268" s="100"/>
      <c r="E268" s="100"/>
      <c r="F268" s="100"/>
      <c r="G268" s="100"/>
      <c r="H268" s="100"/>
      <c r="I268" s="100"/>
      <c r="K268" s="100"/>
      <c r="L268" s="100"/>
      <c r="M268" s="100"/>
      <c r="N268" s="100"/>
    </row>
    <row r="269" spans="1:14" x14ac:dyDescent="0.2">
      <c r="A269" s="100"/>
      <c r="B269" s="100"/>
      <c r="C269" s="100"/>
      <c r="D269" s="100"/>
      <c r="E269" s="100"/>
      <c r="F269" s="100"/>
      <c r="G269" s="100"/>
      <c r="H269" s="100"/>
      <c r="I269" s="100"/>
      <c r="K269" s="100"/>
      <c r="L269" s="100"/>
      <c r="M269" s="100"/>
      <c r="N269" s="100"/>
    </row>
    <row r="270" spans="1:14" x14ac:dyDescent="0.2">
      <c r="A270" s="100"/>
      <c r="B270" s="100"/>
      <c r="C270" s="100"/>
      <c r="D270" s="100"/>
      <c r="E270" s="100"/>
      <c r="F270" s="100"/>
      <c r="G270" s="100"/>
      <c r="H270" s="100"/>
      <c r="I270" s="100"/>
      <c r="K270" s="100"/>
      <c r="L270" s="100"/>
      <c r="M270" s="100"/>
      <c r="N270" s="100"/>
    </row>
    <row r="271" spans="1:14" x14ac:dyDescent="0.2">
      <c r="A271" s="100"/>
      <c r="B271" s="100"/>
      <c r="C271" s="100"/>
      <c r="D271" s="100"/>
      <c r="E271" s="100"/>
      <c r="F271" s="100"/>
      <c r="G271" s="100"/>
      <c r="H271" s="100"/>
      <c r="I271" s="100"/>
      <c r="K271" s="100"/>
      <c r="L271" s="100"/>
      <c r="M271" s="100"/>
      <c r="N271" s="100"/>
    </row>
    <row r="272" spans="1:14" x14ac:dyDescent="0.2">
      <c r="A272" s="100"/>
      <c r="B272" s="100"/>
      <c r="C272" s="100"/>
      <c r="D272" s="100"/>
      <c r="E272" s="100"/>
      <c r="F272" s="100"/>
      <c r="G272" s="100"/>
      <c r="H272" s="100"/>
      <c r="I272" s="100"/>
      <c r="K272" s="100"/>
      <c r="L272" s="100"/>
      <c r="M272" s="100"/>
      <c r="N272" s="100"/>
    </row>
    <row r="273" spans="1:14" x14ac:dyDescent="0.2">
      <c r="A273" s="100"/>
      <c r="B273" s="100"/>
      <c r="C273" s="100"/>
      <c r="D273" s="100"/>
      <c r="E273" s="100"/>
      <c r="F273" s="100"/>
      <c r="G273" s="100"/>
      <c r="H273" s="100"/>
      <c r="I273" s="100"/>
      <c r="K273" s="100"/>
      <c r="L273" s="100"/>
      <c r="M273" s="100"/>
      <c r="N273" s="100"/>
    </row>
    <row r="274" spans="1:14" x14ac:dyDescent="0.2">
      <c r="A274" s="100"/>
      <c r="B274" s="100"/>
      <c r="C274" s="100"/>
      <c r="D274" s="100"/>
      <c r="E274" s="100"/>
      <c r="F274" s="100"/>
      <c r="G274" s="100"/>
      <c r="H274" s="100"/>
      <c r="I274" s="100"/>
      <c r="K274" s="100"/>
      <c r="L274" s="100"/>
      <c r="M274" s="100"/>
      <c r="N274" s="100"/>
    </row>
    <row r="275" spans="1:14" x14ac:dyDescent="0.2">
      <c r="A275" s="100"/>
      <c r="B275" s="100"/>
      <c r="C275" s="100"/>
      <c r="D275" s="100"/>
      <c r="E275" s="100"/>
      <c r="F275" s="100"/>
      <c r="G275" s="100"/>
      <c r="H275" s="100"/>
      <c r="I275" s="100"/>
      <c r="K275" s="100"/>
      <c r="L275" s="100"/>
      <c r="M275" s="100"/>
      <c r="N275" s="100"/>
    </row>
    <row r="276" spans="1:14" x14ac:dyDescent="0.2">
      <c r="A276" s="100"/>
      <c r="B276" s="100"/>
      <c r="C276" s="100"/>
      <c r="D276" s="100"/>
      <c r="E276" s="100"/>
      <c r="F276" s="100"/>
      <c r="G276" s="100"/>
      <c r="H276" s="100"/>
      <c r="I276" s="100"/>
      <c r="K276" s="100"/>
      <c r="L276" s="100"/>
      <c r="M276" s="100"/>
      <c r="N276" s="100"/>
    </row>
    <row r="277" spans="1:14" x14ac:dyDescent="0.2">
      <c r="A277" s="100"/>
      <c r="B277" s="100"/>
      <c r="C277" s="100"/>
      <c r="D277" s="100"/>
      <c r="E277" s="100"/>
      <c r="F277" s="100"/>
      <c r="G277" s="100"/>
      <c r="H277" s="100"/>
      <c r="I277" s="100"/>
      <c r="K277" s="100"/>
      <c r="L277" s="100"/>
      <c r="M277" s="100"/>
      <c r="N277" s="100"/>
    </row>
    <row r="278" spans="1:14" x14ac:dyDescent="0.2">
      <c r="A278" s="100"/>
      <c r="B278" s="100"/>
      <c r="C278" s="100"/>
      <c r="D278" s="100"/>
      <c r="E278" s="100"/>
      <c r="F278" s="100"/>
      <c r="G278" s="100"/>
      <c r="H278" s="100"/>
      <c r="I278" s="100"/>
      <c r="K278" s="100"/>
      <c r="L278" s="100"/>
      <c r="M278" s="100"/>
      <c r="N278" s="100"/>
    </row>
    <row r="279" spans="1:14" x14ac:dyDescent="0.2">
      <c r="A279" s="100"/>
      <c r="B279" s="100"/>
      <c r="C279" s="100"/>
      <c r="D279" s="100"/>
      <c r="E279" s="100"/>
      <c r="F279" s="100"/>
      <c r="G279" s="100"/>
      <c r="H279" s="100"/>
      <c r="I279" s="100"/>
      <c r="K279" s="100"/>
      <c r="L279" s="100"/>
      <c r="M279" s="100"/>
      <c r="N279" s="100"/>
    </row>
    <row r="280" spans="1:14" x14ac:dyDescent="0.2">
      <c r="A280" s="100"/>
      <c r="B280" s="100"/>
      <c r="C280" s="100"/>
      <c r="D280" s="100"/>
      <c r="E280" s="100"/>
      <c r="F280" s="100"/>
      <c r="G280" s="100"/>
      <c r="H280" s="100"/>
      <c r="I280" s="100"/>
      <c r="K280" s="100"/>
      <c r="L280" s="100"/>
      <c r="M280" s="100"/>
      <c r="N280" s="100"/>
    </row>
    <row r="281" spans="1:14" x14ac:dyDescent="0.2">
      <c r="A281" s="100"/>
      <c r="B281" s="100"/>
      <c r="C281" s="100"/>
      <c r="D281" s="100"/>
      <c r="E281" s="100"/>
      <c r="F281" s="100"/>
      <c r="G281" s="100"/>
      <c r="H281" s="100"/>
      <c r="I281" s="100"/>
      <c r="K281" s="100"/>
      <c r="L281" s="100"/>
      <c r="M281" s="100"/>
      <c r="N281" s="100"/>
    </row>
    <row r="282" spans="1:14" x14ac:dyDescent="0.2">
      <c r="A282" s="100"/>
      <c r="B282" s="100"/>
      <c r="C282" s="100"/>
      <c r="D282" s="100"/>
      <c r="E282" s="100"/>
      <c r="F282" s="100"/>
      <c r="G282" s="100"/>
      <c r="H282" s="100"/>
      <c r="I282" s="100"/>
      <c r="K282" s="100"/>
      <c r="L282" s="100"/>
      <c r="M282" s="100"/>
      <c r="N282" s="100"/>
    </row>
    <row r="283" spans="1:14" x14ac:dyDescent="0.2">
      <c r="A283" s="100"/>
      <c r="B283" s="100"/>
      <c r="C283" s="100"/>
      <c r="D283" s="100"/>
      <c r="E283" s="100"/>
      <c r="F283" s="100"/>
      <c r="G283" s="100"/>
      <c r="H283" s="100"/>
      <c r="I283" s="100"/>
      <c r="K283" s="100"/>
      <c r="L283" s="100"/>
      <c r="M283" s="100"/>
      <c r="N283" s="100"/>
    </row>
    <row r="284" spans="1:14" x14ac:dyDescent="0.2">
      <c r="A284" s="100"/>
      <c r="B284" s="100"/>
      <c r="C284" s="100"/>
      <c r="D284" s="100"/>
      <c r="E284" s="100"/>
      <c r="F284" s="100"/>
      <c r="G284" s="100"/>
      <c r="H284" s="100"/>
      <c r="I284" s="100"/>
      <c r="K284" s="100"/>
      <c r="L284" s="100"/>
      <c r="M284" s="100"/>
      <c r="N284" s="100"/>
    </row>
    <row r="285" spans="1:14" x14ac:dyDescent="0.2">
      <c r="A285" s="100"/>
      <c r="B285" s="100"/>
      <c r="C285" s="100"/>
      <c r="D285" s="100"/>
      <c r="E285" s="100"/>
      <c r="F285" s="100"/>
      <c r="G285" s="100"/>
      <c r="H285" s="100"/>
      <c r="I285" s="100"/>
      <c r="K285" s="100"/>
      <c r="L285" s="100"/>
      <c r="M285" s="100"/>
      <c r="N285" s="100"/>
    </row>
    <row r="286" spans="1:14" x14ac:dyDescent="0.2">
      <c r="A286" s="100"/>
      <c r="B286" s="100"/>
      <c r="C286" s="100"/>
      <c r="D286" s="100"/>
      <c r="E286" s="100"/>
      <c r="F286" s="100"/>
      <c r="G286" s="100"/>
      <c r="H286" s="100"/>
      <c r="I286" s="100"/>
      <c r="K286" s="100"/>
      <c r="L286" s="100"/>
      <c r="M286" s="100"/>
      <c r="N286" s="100"/>
    </row>
    <row r="287" spans="1:14" x14ac:dyDescent="0.2">
      <c r="A287" s="100"/>
      <c r="B287" s="100"/>
      <c r="C287" s="100"/>
      <c r="D287" s="100"/>
      <c r="E287" s="100"/>
      <c r="F287" s="100"/>
      <c r="G287" s="100"/>
      <c r="H287" s="100"/>
      <c r="I287" s="100"/>
      <c r="K287" s="100"/>
      <c r="L287" s="100"/>
      <c r="M287" s="100"/>
      <c r="N287" s="100"/>
    </row>
    <row r="288" spans="1:14" x14ac:dyDescent="0.2">
      <c r="A288" s="100"/>
      <c r="B288" s="100"/>
      <c r="C288" s="100"/>
      <c r="D288" s="100"/>
      <c r="E288" s="100"/>
      <c r="F288" s="100"/>
      <c r="G288" s="100"/>
      <c r="H288" s="100"/>
      <c r="I288" s="100"/>
      <c r="K288" s="100"/>
      <c r="L288" s="100"/>
      <c r="M288" s="100"/>
      <c r="N288" s="100"/>
    </row>
    <row r="289" spans="1:14" x14ac:dyDescent="0.2">
      <c r="A289" s="100"/>
      <c r="B289" s="100"/>
      <c r="C289" s="100"/>
      <c r="D289" s="100"/>
      <c r="E289" s="100"/>
      <c r="F289" s="100"/>
      <c r="G289" s="100"/>
      <c r="H289" s="100"/>
      <c r="I289" s="100"/>
      <c r="K289" s="100"/>
      <c r="L289" s="100"/>
      <c r="M289" s="100"/>
      <c r="N289" s="100"/>
    </row>
    <row r="290" spans="1:14" x14ac:dyDescent="0.2">
      <c r="A290" s="100"/>
      <c r="B290" s="100"/>
      <c r="C290" s="100"/>
      <c r="D290" s="100"/>
      <c r="E290" s="100"/>
      <c r="F290" s="100"/>
      <c r="G290" s="100"/>
      <c r="H290" s="100"/>
      <c r="I290" s="100"/>
      <c r="K290" s="100"/>
      <c r="L290" s="100"/>
      <c r="M290" s="100"/>
      <c r="N290" s="100"/>
    </row>
    <row r="291" spans="1:14" x14ac:dyDescent="0.2">
      <c r="A291" s="100"/>
      <c r="B291" s="100"/>
      <c r="C291" s="100"/>
      <c r="D291" s="100"/>
      <c r="E291" s="100"/>
      <c r="F291" s="100"/>
      <c r="G291" s="100"/>
      <c r="H291" s="100"/>
      <c r="I291" s="100"/>
      <c r="K291" s="100"/>
      <c r="L291" s="100"/>
      <c r="M291" s="100"/>
      <c r="N291" s="100"/>
    </row>
    <row r="292" spans="1:14" x14ac:dyDescent="0.2">
      <c r="A292" s="100"/>
      <c r="B292" s="100"/>
      <c r="C292" s="100"/>
      <c r="D292" s="100"/>
      <c r="E292" s="100"/>
      <c r="F292" s="100"/>
      <c r="G292" s="100"/>
      <c r="H292" s="100"/>
      <c r="I292" s="100"/>
      <c r="K292" s="100"/>
      <c r="L292" s="100"/>
      <c r="M292" s="100"/>
      <c r="N292" s="100"/>
    </row>
    <row r="293" spans="1:14" x14ac:dyDescent="0.2">
      <c r="A293" s="100"/>
      <c r="B293" s="100"/>
      <c r="C293" s="100"/>
      <c r="D293" s="100"/>
      <c r="E293" s="100"/>
      <c r="F293" s="100"/>
      <c r="G293" s="100"/>
      <c r="H293" s="100"/>
      <c r="I293" s="100"/>
      <c r="K293" s="100"/>
      <c r="L293" s="100"/>
      <c r="M293" s="100"/>
      <c r="N293" s="100"/>
    </row>
    <row r="294" spans="1:14" x14ac:dyDescent="0.2">
      <c r="A294" s="100"/>
      <c r="B294" s="100"/>
      <c r="C294" s="100"/>
      <c r="D294" s="100"/>
      <c r="E294" s="100"/>
      <c r="F294" s="100"/>
      <c r="G294" s="100"/>
      <c r="H294" s="100"/>
      <c r="I294" s="100"/>
      <c r="K294" s="100"/>
      <c r="L294" s="100"/>
      <c r="M294" s="100"/>
      <c r="N294" s="100"/>
    </row>
    <row r="295" spans="1:14" x14ac:dyDescent="0.2">
      <c r="A295" s="100"/>
      <c r="B295" s="100"/>
      <c r="C295" s="100"/>
      <c r="D295" s="100"/>
      <c r="E295" s="100"/>
      <c r="F295" s="100"/>
      <c r="G295" s="100"/>
      <c r="H295" s="100"/>
      <c r="I295" s="100"/>
      <c r="K295" s="100"/>
      <c r="L295" s="100"/>
      <c r="M295" s="100"/>
      <c r="N295" s="100"/>
    </row>
    <row r="296" spans="1:14" x14ac:dyDescent="0.2">
      <c r="A296" s="100"/>
      <c r="B296" s="100"/>
      <c r="C296" s="100"/>
      <c r="D296" s="100"/>
      <c r="E296" s="100"/>
      <c r="F296" s="100"/>
      <c r="G296" s="100"/>
      <c r="H296" s="100"/>
      <c r="I296" s="100"/>
      <c r="K296" s="100"/>
      <c r="L296" s="100"/>
      <c r="M296" s="100"/>
      <c r="N296" s="100"/>
    </row>
    <row r="297" spans="1:14" x14ac:dyDescent="0.2">
      <c r="A297" s="100"/>
      <c r="B297" s="100"/>
      <c r="C297" s="100"/>
      <c r="D297" s="100"/>
      <c r="E297" s="100"/>
      <c r="F297" s="100"/>
      <c r="G297" s="100"/>
      <c r="H297" s="100"/>
      <c r="I297" s="100"/>
      <c r="K297" s="100"/>
      <c r="L297" s="100"/>
      <c r="M297" s="100"/>
      <c r="N297" s="100"/>
    </row>
    <row r="298" spans="1:14" x14ac:dyDescent="0.2">
      <c r="A298" s="100"/>
      <c r="B298" s="100"/>
      <c r="C298" s="100"/>
      <c r="D298" s="100"/>
      <c r="E298" s="100"/>
      <c r="F298" s="100"/>
      <c r="G298" s="100"/>
      <c r="H298" s="100"/>
      <c r="I298" s="100"/>
      <c r="K298" s="100"/>
      <c r="L298" s="100"/>
      <c r="M298" s="100"/>
      <c r="N298" s="100"/>
    </row>
    <row r="299" spans="1:14" x14ac:dyDescent="0.2">
      <c r="A299" s="100"/>
      <c r="B299" s="100"/>
      <c r="C299" s="100"/>
      <c r="D299" s="100"/>
      <c r="E299" s="100"/>
      <c r="F299" s="100"/>
      <c r="G299" s="100"/>
      <c r="H299" s="100"/>
      <c r="I299" s="100"/>
      <c r="K299" s="100"/>
      <c r="L299" s="100"/>
      <c r="M299" s="100"/>
      <c r="N299" s="100"/>
    </row>
    <row r="300" spans="1:14" x14ac:dyDescent="0.2">
      <c r="A300" s="100"/>
      <c r="B300" s="100"/>
      <c r="C300" s="100"/>
      <c r="D300" s="100"/>
      <c r="E300" s="100"/>
      <c r="F300" s="100"/>
      <c r="G300" s="100"/>
      <c r="H300" s="100"/>
      <c r="I300" s="100"/>
      <c r="K300" s="100"/>
      <c r="L300" s="100"/>
      <c r="M300" s="100"/>
      <c r="N300" s="100"/>
    </row>
  </sheetData>
  <sheetProtection selectLockedCells="1" selectUnlockedCells="1"/>
  <mergeCells count="12">
    <mergeCell ref="H1:H2"/>
    <mergeCell ref="N1:N2"/>
    <mergeCell ref="G1:G2"/>
    <mergeCell ref="I1:I2"/>
    <mergeCell ref="K1:K2"/>
    <mergeCell ref="L1:L2"/>
    <mergeCell ref="M1:M2"/>
    <mergeCell ref="A1:A2"/>
    <mergeCell ref="B1:B2"/>
    <mergeCell ref="C1:D1"/>
    <mergeCell ref="E1:E2"/>
    <mergeCell ref="F1:F2"/>
  </mergeCell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E2CBD65-A437-4D1A-95BF-A873EC34DB6A}">
          <x14:formula1>
            <xm:f>'DD List'!$J$96:$J$97</xm:f>
          </x14:formula1>
          <xm:sqref>H3:H300</xm:sqref>
        </x14:dataValidation>
        <x14:dataValidation type="list" allowBlank="1" showInputMessage="1" showErrorMessage="1" xr:uid="{3242991F-EE37-4E9E-8A98-D07B3006776B}">
          <x14:formula1>
            <xm:f>'DD List'!$J$99:$J$101</xm:f>
          </x14:formula1>
          <xm:sqref>E3:E339</xm:sqref>
        </x14:dataValidation>
        <x14:dataValidation type="list" allowBlank="1" showInputMessage="1" showErrorMessage="1" xr:uid="{DDC8ECF4-B4ED-4831-ADAA-7ECB43A80004}">
          <x14:formula1>
            <xm:f>'DD List'!$F$33:$F$34</xm:f>
          </x14:formula1>
          <xm:sqref>I3:I339 N3:N1048576</xm:sqref>
        </x14:dataValidation>
        <x14:dataValidation type="list" allowBlank="1" showInputMessage="1" showErrorMessage="1" xr:uid="{95733F31-C61B-49B5-B891-C5CD6FA68F87}">
          <x14:formula1>
            <xm:f>'DD List'!$J$104:$J$105</xm:f>
          </x14:formula1>
          <xm:sqref>F3:F339</xm:sqref>
        </x14:dataValidation>
        <x14:dataValidation type="list" allowBlank="1" showInputMessage="1" showErrorMessage="1" xr:uid="{7FEB0296-48A6-4FAD-AD50-DB4C3DA87856}">
          <x14:formula1>
            <xm:f>'DD List'!$J$107:$J$108</xm:f>
          </x14:formula1>
          <xm:sqref>M3:M1048576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A42D-F669-4A7F-957C-E515673A4CE4}">
  <dimension ref="A1:G17"/>
  <sheetViews>
    <sheetView workbookViewId="0">
      <selection activeCell="B34" sqref="B34"/>
    </sheetView>
  </sheetViews>
  <sheetFormatPr defaultRowHeight="12.75" x14ac:dyDescent="0.2"/>
  <cols>
    <col min="1" max="7" width="22.85546875" customWidth="1"/>
  </cols>
  <sheetData>
    <row r="1" spans="1:7" ht="15" x14ac:dyDescent="0.2">
      <c r="A1" s="125" t="s">
        <v>438</v>
      </c>
      <c r="B1" s="126"/>
      <c r="C1" s="126"/>
      <c r="D1" s="126"/>
      <c r="E1" s="127" t="s">
        <v>439</v>
      </c>
      <c r="F1" s="128"/>
      <c r="G1" s="128"/>
    </row>
    <row r="2" spans="1:7" ht="25.5" x14ac:dyDescent="0.2">
      <c r="A2" s="101" t="s">
        <v>410</v>
      </c>
      <c r="B2" s="101" t="s">
        <v>440</v>
      </c>
      <c r="C2" s="101" t="s">
        <v>441</v>
      </c>
      <c r="D2" s="101" t="s">
        <v>442</v>
      </c>
      <c r="E2" s="101" t="s">
        <v>443</v>
      </c>
      <c r="F2" s="101" t="s">
        <v>444</v>
      </c>
      <c r="G2" s="101" t="s">
        <v>411</v>
      </c>
    </row>
    <row r="3" spans="1:7" x14ac:dyDescent="0.2">
      <c r="A3" s="102"/>
      <c r="B3" s="102"/>
      <c r="C3" s="102"/>
      <c r="D3" s="102"/>
      <c r="E3" s="102"/>
      <c r="F3" s="102"/>
      <c r="G3" s="102"/>
    </row>
    <row r="4" spans="1:7" x14ac:dyDescent="0.2">
      <c r="A4" s="102"/>
      <c r="B4" s="102"/>
      <c r="C4" s="102"/>
      <c r="D4" s="102"/>
      <c r="E4" s="102"/>
      <c r="F4" s="102"/>
      <c r="G4" s="102"/>
    </row>
    <row r="5" spans="1:7" x14ac:dyDescent="0.2">
      <c r="A5" s="102"/>
      <c r="B5" s="102"/>
      <c r="C5" s="102"/>
      <c r="D5" s="102"/>
      <c r="E5" s="102"/>
      <c r="F5" s="102"/>
      <c r="G5" s="102"/>
    </row>
    <row r="6" spans="1:7" x14ac:dyDescent="0.2">
      <c r="A6" s="102"/>
      <c r="B6" s="102"/>
      <c r="C6" s="102"/>
      <c r="D6" s="102"/>
      <c r="E6" s="102"/>
      <c r="F6" s="102"/>
      <c r="G6" s="102"/>
    </row>
    <row r="7" spans="1:7" x14ac:dyDescent="0.2">
      <c r="A7" s="102"/>
      <c r="B7" s="102"/>
      <c r="C7" s="102"/>
      <c r="D7" s="102"/>
      <c r="E7" s="102"/>
      <c r="F7" s="102"/>
      <c r="G7" s="102"/>
    </row>
    <row r="8" spans="1:7" x14ac:dyDescent="0.2">
      <c r="A8" s="102"/>
      <c r="B8" s="102"/>
      <c r="C8" s="102"/>
      <c r="D8" s="102"/>
      <c r="E8" s="102"/>
      <c r="F8" s="102"/>
      <c r="G8" s="102"/>
    </row>
    <row r="9" spans="1:7" x14ac:dyDescent="0.2">
      <c r="A9" s="102"/>
      <c r="B9" s="102"/>
      <c r="C9" s="102"/>
      <c r="D9" s="102"/>
      <c r="E9" s="102"/>
      <c r="F9" s="102"/>
      <c r="G9" s="102"/>
    </row>
    <row r="10" spans="1:7" x14ac:dyDescent="0.2">
      <c r="A10" s="102"/>
      <c r="B10" s="102"/>
      <c r="C10" s="102"/>
      <c r="D10" s="102"/>
      <c r="E10" s="102"/>
      <c r="F10" s="102"/>
      <c r="G10" s="102"/>
    </row>
    <row r="11" spans="1:7" x14ac:dyDescent="0.2">
      <c r="A11" s="102"/>
      <c r="B11" s="102"/>
      <c r="C11" s="102"/>
      <c r="D11" s="102"/>
      <c r="E11" s="102"/>
      <c r="F11" s="102"/>
      <c r="G11" s="102"/>
    </row>
    <row r="12" spans="1:7" x14ac:dyDescent="0.2">
      <c r="A12" s="102"/>
      <c r="B12" s="102"/>
      <c r="C12" s="102"/>
      <c r="D12" s="102"/>
      <c r="E12" s="102"/>
      <c r="F12" s="102"/>
      <c r="G12" s="102"/>
    </row>
    <row r="17" spans="1:1" x14ac:dyDescent="0.2">
      <c r="A17" t="s">
        <v>450</v>
      </c>
    </row>
  </sheetData>
  <mergeCells count="2">
    <mergeCell ref="A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A4A4-27A7-46DC-AC53-8A70A4CE61F2}">
  <dimension ref="A1:I1048576"/>
  <sheetViews>
    <sheetView topLeftCell="A21" zoomScale="115" zoomScaleNormal="115" zoomScaleSheetLayoutView="100" workbookViewId="0">
      <selection activeCell="C25" sqref="C25"/>
    </sheetView>
  </sheetViews>
  <sheetFormatPr defaultColWidth="9.140625" defaultRowHeight="13.5" outlineLevelRow="1" x14ac:dyDescent="0.2"/>
  <cols>
    <col min="1" max="1" width="7" style="17" bestFit="1" customWidth="1"/>
    <col min="2" max="2" width="72.140625" style="18" customWidth="1"/>
    <col min="3" max="3" width="48.7109375" style="11" customWidth="1"/>
    <col min="4" max="4" width="21.5703125" style="11" customWidth="1"/>
    <col min="5" max="5" width="32.5703125" style="2" customWidth="1"/>
    <col min="6" max="6" width="10.28515625" style="2" bestFit="1" customWidth="1"/>
    <col min="7" max="7" width="32.140625" style="2" customWidth="1"/>
    <col min="8" max="8" width="3.140625" style="2" customWidth="1"/>
    <col min="9" max="9" width="9.85546875" style="2" customWidth="1"/>
    <col min="10" max="15" width="9.140625" style="2"/>
    <col min="16" max="16" width="10.5703125" style="2" customWidth="1"/>
    <col min="17" max="16384" width="9.140625" style="2"/>
  </cols>
  <sheetData>
    <row r="1" spans="1:7" ht="48" customHeight="1" x14ac:dyDescent="0.2">
      <c r="A1" s="25"/>
      <c r="B1" s="25"/>
      <c r="C1" s="25"/>
      <c r="D1" s="25"/>
      <c r="E1" s="25"/>
      <c r="F1" s="129" t="s">
        <v>109</v>
      </c>
      <c r="G1" s="129"/>
    </row>
    <row r="2" spans="1:7" ht="16.5" x14ac:dyDescent="0.2">
      <c r="A2" s="39"/>
      <c r="B2" s="40"/>
      <c r="C2" s="136" t="s">
        <v>110</v>
      </c>
      <c r="D2" s="136"/>
      <c r="E2" s="132" t="s">
        <v>111</v>
      </c>
      <c r="F2" s="132"/>
      <c r="G2" s="30"/>
    </row>
    <row r="3" spans="1:7" ht="16.5" x14ac:dyDescent="0.2">
      <c r="A3" s="31"/>
      <c r="B3" s="25"/>
      <c r="C3" s="25"/>
      <c r="D3" s="26"/>
      <c r="E3" s="26"/>
      <c r="F3" s="25"/>
      <c r="G3" s="32"/>
    </row>
    <row r="4" spans="1:7" ht="16.5" x14ac:dyDescent="0.2">
      <c r="A4" s="31"/>
      <c r="B4" s="25"/>
      <c r="C4" s="25"/>
      <c r="D4" s="26"/>
      <c r="E4" s="26"/>
      <c r="F4" s="25"/>
      <c r="G4" s="32"/>
    </row>
    <row r="5" spans="1:7" ht="16.5" x14ac:dyDescent="0.2">
      <c r="A5" s="31"/>
      <c r="B5" s="25"/>
      <c r="C5" s="25"/>
      <c r="D5" s="26"/>
      <c r="E5" s="26"/>
      <c r="F5" s="25"/>
      <c r="G5" s="32"/>
    </row>
    <row r="6" spans="1:7" ht="39" customHeight="1" x14ac:dyDescent="0.2">
      <c r="A6" s="33" t="s">
        <v>112</v>
      </c>
      <c r="B6" s="38"/>
      <c r="C6" s="41"/>
      <c r="D6" s="26"/>
      <c r="E6" s="26"/>
      <c r="F6" s="25"/>
      <c r="G6" s="32"/>
    </row>
    <row r="7" spans="1:7" ht="16.5" x14ac:dyDescent="0.2">
      <c r="A7" s="33"/>
      <c r="B7" s="38"/>
      <c r="C7" s="25"/>
      <c r="D7" s="26"/>
      <c r="E7" s="26"/>
      <c r="F7" s="25"/>
      <c r="G7" s="32"/>
    </row>
    <row r="8" spans="1:7" ht="36" customHeight="1" x14ac:dyDescent="0.2">
      <c r="A8" s="44" t="s">
        <v>113</v>
      </c>
      <c r="B8" s="38"/>
      <c r="C8" s="41"/>
      <c r="D8" s="26"/>
      <c r="E8" s="26"/>
      <c r="F8" s="25"/>
      <c r="G8" s="32"/>
    </row>
    <row r="9" spans="1:7" ht="16.5" x14ac:dyDescent="0.2">
      <c r="A9" s="33"/>
      <c r="B9" s="38"/>
      <c r="C9" s="25"/>
      <c r="D9" s="26"/>
      <c r="E9" s="26"/>
      <c r="F9" s="25"/>
      <c r="G9" s="32"/>
    </row>
    <row r="10" spans="1:7" ht="34.5" customHeight="1" x14ac:dyDescent="0.2">
      <c r="A10" s="33" t="s">
        <v>114</v>
      </c>
      <c r="B10" s="38"/>
      <c r="C10" s="41"/>
      <c r="D10" s="26"/>
      <c r="E10" s="26"/>
      <c r="F10" s="25"/>
      <c r="G10" s="32"/>
    </row>
    <row r="11" spans="1:7" ht="16.5" x14ac:dyDescent="0.2">
      <c r="A11" s="33"/>
      <c r="B11" s="38"/>
      <c r="C11" s="25"/>
      <c r="D11" s="26"/>
      <c r="E11" s="26"/>
      <c r="F11" s="25"/>
      <c r="G11" s="32"/>
    </row>
    <row r="12" spans="1:7" ht="33.75" customHeight="1" x14ac:dyDescent="0.2">
      <c r="A12" s="33" t="s">
        <v>115</v>
      </c>
      <c r="B12" s="38"/>
      <c r="C12" s="41"/>
      <c r="D12" s="26"/>
      <c r="E12" s="26"/>
      <c r="F12" s="25"/>
      <c r="G12" s="32"/>
    </row>
    <row r="13" spans="1:7" ht="16.5" x14ac:dyDescent="0.2">
      <c r="A13" s="33"/>
      <c r="B13" s="38"/>
      <c r="C13" s="25"/>
      <c r="D13" s="26"/>
      <c r="E13" s="26"/>
      <c r="F13" s="25"/>
      <c r="G13" s="32"/>
    </row>
    <row r="14" spans="1:7" ht="40.5" customHeight="1" x14ac:dyDescent="0.2">
      <c r="A14" s="33" t="s">
        <v>116</v>
      </c>
      <c r="B14" s="38"/>
      <c r="C14" s="41"/>
      <c r="D14" s="26"/>
      <c r="E14" s="26"/>
      <c r="F14" s="25"/>
      <c r="G14" s="32"/>
    </row>
    <row r="15" spans="1:7" ht="16.5" x14ac:dyDescent="0.2">
      <c r="A15" s="34"/>
      <c r="B15" s="35"/>
      <c r="C15" s="35"/>
      <c r="D15" s="36"/>
      <c r="E15" s="36"/>
      <c r="F15" s="35"/>
      <c r="G15" s="37"/>
    </row>
    <row r="16" spans="1:7" ht="33" x14ac:dyDescent="0.2">
      <c r="A16" s="27" t="s">
        <v>10</v>
      </c>
      <c r="B16" s="28" t="s">
        <v>117</v>
      </c>
      <c r="C16" s="28" t="s">
        <v>12</v>
      </c>
      <c r="D16" s="29" t="s">
        <v>118</v>
      </c>
      <c r="E16" s="29" t="s">
        <v>119</v>
      </c>
      <c r="F16" s="28" t="s">
        <v>120</v>
      </c>
      <c r="G16" s="28" t="s">
        <v>13</v>
      </c>
    </row>
    <row r="17" spans="1:7" ht="15" x14ac:dyDescent="0.25">
      <c r="A17" s="55">
        <v>1</v>
      </c>
      <c r="B17" s="46" t="s">
        <v>121</v>
      </c>
      <c r="C17" s="47"/>
      <c r="D17" s="47"/>
      <c r="E17" s="47"/>
      <c r="F17" s="47"/>
      <c r="G17" s="48"/>
    </row>
    <row r="18" spans="1:7" s="8" customFormat="1" x14ac:dyDescent="0.25">
      <c r="A18" s="56">
        <f>A17+0.01</f>
        <v>1.01</v>
      </c>
      <c r="B18" s="3" t="s">
        <v>122</v>
      </c>
      <c r="C18" s="5"/>
      <c r="D18" s="43"/>
      <c r="E18" s="6" t="s">
        <v>123</v>
      </c>
      <c r="F18" s="7"/>
      <c r="G18" s="6"/>
    </row>
    <row r="19" spans="1:7" s="8" customFormat="1" x14ac:dyDescent="0.25">
      <c r="A19" s="72">
        <f>A18+0.01</f>
        <v>1.02</v>
      </c>
      <c r="B19" s="3" t="s">
        <v>124</v>
      </c>
      <c r="C19" s="43"/>
      <c r="D19" s="5"/>
      <c r="E19" s="6" t="s">
        <v>123</v>
      </c>
      <c r="F19" s="7"/>
      <c r="G19" s="6"/>
    </row>
    <row r="20" spans="1:7" s="8" customFormat="1" x14ac:dyDescent="0.2">
      <c r="A20" s="130">
        <f>A19+0.01</f>
        <v>1.03</v>
      </c>
      <c r="B20" s="131" t="s">
        <v>125</v>
      </c>
      <c r="C20" s="3" t="s">
        <v>126</v>
      </c>
      <c r="D20" s="5"/>
      <c r="E20" s="6" t="s">
        <v>127</v>
      </c>
      <c r="F20" s="7"/>
      <c r="G20" s="6"/>
    </row>
    <row r="21" spans="1:7" s="8" customFormat="1" x14ac:dyDescent="0.2">
      <c r="A21" s="130"/>
      <c r="B21" s="131"/>
      <c r="C21" s="3" t="s">
        <v>128</v>
      </c>
      <c r="D21" s="5"/>
      <c r="E21" s="6" t="s">
        <v>127</v>
      </c>
      <c r="F21" s="7"/>
      <c r="G21" s="6"/>
    </row>
    <row r="22" spans="1:7" s="8" customFormat="1" x14ac:dyDescent="0.2">
      <c r="A22" s="130"/>
      <c r="B22" s="131"/>
      <c r="C22" s="3" t="s">
        <v>129</v>
      </c>
      <c r="D22" s="5"/>
      <c r="E22" s="6" t="s">
        <v>127</v>
      </c>
      <c r="F22" s="7"/>
      <c r="G22" s="6"/>
    </row>
    <row r="23" spans="1:7" s="8" customFormat="1" x14ac:dyDescent="0.25">
      <c r="A23" s="72">
        <f>A20+0.01</f>
        <v>1.04</v>
      </c>
      <c r="B23" s="3" t="s">
        <v>130</v>
      </c>
      <c r="C23" s="3"/>
      <c r="D23" s="42"/>
      <c r="E23" s="6" t="s">
        <v>123</v>
      </c>
      <c r="F23" s="3"/>
      <c r="G23" s="3"/>
    </row>
    <row r="24" spans="1:7" s="8" customFormat="1" x14ac:dyDescent="0.25">
      <c r="A24" s="73">
        <f t="shared" ref="A24:A36" si="0">A23+0.01</f>
        <v>1.05</v>
      </c>
      <c r="B24" s="3" t="s">
        <v>131</v>
      </c>
      <c r="C24" s="3"/>
      <c r="D24" s="42"/>
      <c r="E24" s="3" t="s">
        <v>132</v>
      </c>
      <c r="F24" s="3"/>
      <c r="G24" s="3"/>
    </row>
    <row r="25" spans="1:7" s="8" customFormat="1" ht="27" x14ac:dyDescent="0.25">
      <c r="A25" s="73">
        <f t="shared" si="0"/>
        <v>1.06</v>
      </c>
      <c r="B25" s="3" t="s">
        <v>133</v>
      </c>
      <c r="C25" s="3"/>
      <c r="D25" s="42"/>
      <c r="E25" s="3" t="s">
        <v>132</v>
      </c>
      <c r="F25" s="3"/>
      <c r="G25" s="3"/>
    </row>
    <row r="26" spans="1:7" s="8" customFormat="1" x14ac:dyDescent="0.25">
      <c r="A26" s="73">
        <f t="shared" si="0"/>
        <v>1.07</v>
      </c>
      <c r="B26" s="3" t="s">
        <v>134</v>
      </c>
      <c r="C26" s="3"/>
      <c r="D26" s="42"/>
      <c r="E26" s="3" t="s">
        <v>132</v>
      </c>
      <c r="F26" s="3"/>
      <c r="G26" s="3"/>
    </row>
    <row r="27" spans="1:7" s="8" customFormat="1" ht="27" x14ac:dyDescent="0.25">
      <c r="A27" s="73">
        <f t="shared" si="0"/>
        <v>1.08</v>
      </c>
      <c r="B27" s="3" t="s">
        <v>27</v>
      </c>
      <c r="C27" s="3"/>
      <c r="D27" s="42"/>
      <c r="E27" s="3"/>
      <c r="F27" s="3"/>
      <c r="G27" s="3"/>
    </row>
    <row r="28" spans="1:7" s="8" customFormat="1" x14ac:dyDescent="0.25">
      <c r="A28" s="73">
        <f t="shared" si="0"/>
        <v>1.0900000000000001</v>
      </c>
      <c r="B28" s="3" t="s">
        <v>135</v>
      </c>
      <c r="C28" s="71"/>
      <c r="D28" s="42"/>
      <c r="E28" s="3" t="s">
        <v>132</v>
      </c>
      <c r="F28" s="3"/>
      <c r="G28" s="3"/>
    </row>
    <row r="29" spans="1:7" s="8" customFormat="1" ht="25.5" customHeight="1" x14ac:dyDescent="0.25">
      <c r="A29" s="72">
        <f t="shared" si="0"/>
        <v>1.1000000000000001</v>
      </c>
      <c r="B29" s="3" t="s">
        <v>29</v>
      </c>
      <c r="C29" s="3"/>
      <c r="D29" s="42"/>
      <c r="E29" s="3"/>
      <c r="F29" s="3"/>
      <c r="G29" s="3"/>
    </row>
    <row r="30" spans="1:7" s="8" customFormat="1" x14ac:dyDescent="0.25">
      <c r="A30" s="73">
        <f t="shared" si="0"/>
        <v>1.1100000000000001</v>
      </c>
      <c r="B30" s="12" t="s">
        <v>31</v>
      </c>
      <c r="C30" s="3"/>
      <c r="D30" s="42"/>
      <c r="E30" s="3"/>
      <c r="F30" s="3"/>
      <c r="G30" s="3"/>
    </row>
    <row r="31" spans="1:7" s="8" customFormat="1" x14ac:dyDescent="0.25">
      <c r="A31" s="73">
        <f t="shared" si="0"/>
        <v>1.1200000000000001</v>
      </c>
      <c r="B31" s="74" t="s">
        <v>136</v>
      </c>
      <c r="C31" s="3"/>
      <c r="D31" s="42"/>
      <c r="E31" s="3"/>
      <c r="F31" s="3"/>
      <c r="G31" s="3"/>
    </row>
    <row r="32" spans="1:7" s="8" customFormat="1" x14ac:dyDescent="0.25">
      <c r="A32" s="73">
        <f t="shared" si="0"/>
        <v>1.1300000000000001</v>
      </c>
      <c r="B32" s="74" t="s">
        <v>34</v>
      </c>
      <c r="C32" s="3"/>
      <c r="D32" s="42"/>
      <c r="E32" s="3"/>
      <c r="F32" s="3"/>
      <c r="G32" s="3"/>
    </row>
    <row r="33" spans="1:7" s="8" customFormat="1" x14ac:dyDescent="0.25">
      <c r="A33" s="73">
        <f t="shared" si="0"/>
        <v>1.1400000000000001</v>
      </c>
      <c r="B33" s="74" t="s">
        <v>35</v>
      </c>
      <c r="C33" s="3"/>
      <c r="D33" s="42"/>
      <c r="E33" s="3"/>
      <c r="F33" s="3"/>
      <c r="G33" s="3"/>
    </row>
    <row r="34" spans="1:7" s="8" customFormat="1" x14ac:dyDescent="0.25">
      <c r="A34" s="73">
        <f t="shared" si="0"/>
        <v>1.1500000000000001</v>
      </c>
      <c r="B34" s="3" t="s">
        <v>137</v>
      </c>
      <c r="C34" s="3"/>
      <c r="D34" s="42"/>
      <c r="E34" s="3" t="s">
        <v>132</v>
      </c>
      <c r="F34" s="3"/>
      <c r="G34" s="3"/>
    </row>
    <row r="35" spans="1:7" s="8" customFormat="1" x14ac:dyDescent="0.25">
      <c r="A35" s="73">
        <f t="shared" si="0"/>
        <v>1.1600000000000001</v>
      </c>
      <c r="B35" s="3" t="s">
        <v>37</v>
      </c>
      <c r="C35" s="3"/>
      <c r="D35" s="42"/>
      <c r="E35" s="3"/>
      <c r="F35" s="3"/>
      <c r="G35" s="3"/>
    </row>
    <row r="36" spans="1:7" s="8" customFormat="1" x14ac:dyDescent="0.25">
      <c r="A36" s="73">
        <f t="shared" si="0"/>
        <v>1.1700000000000002</v>
      </c>
      <c r="B36" s="74" t="s">
        <v>138</v>
      </c>
      <c r="C36" s="3"/>
      <c r="D36" s="42"/>
      <c r="E36" s="3" t="s">
        <v>132</v>
      </c>
      <c r="F36" s="3"/>
      <c r="G36" s="3"/>
    </row>
    <row r="37" spans="1:7" s="8" customFormat="1" x14ac:dyDescent="0.25">
      <c r="A37" s="57"/>
      <c r="B37" s="50"/>
      <c r="C37" s="50"/>
      <c r="D37" s="50"/>
      <c r="E37" s="50"/>
      <c r="F37" s="50"/>
      <c r="G37" s="50"/>
    </row>
    <row r="38" spans="1:7" ht="15" x14ac:dyDescent="0.25">
      <c r="A38" s="55">
        <f>A17+1</f>
        <v>2</v>
      </c>
      <c r="B38" s="45" t="s">
        <v>139</v>
      </c>
      <c r="C38" s="45"/>
      <c r="D38" s="45"/>
      <c r="E38" s="45"/>
      <c r="F38" s="45"/>
      <c r="G38" s="45"/>
    </row>
    <row r="39" spans="1:7" outlineLevel="1" x14ac:dyDescent="0.25">
      <c r="A39" s="57">
        <f t="shared" ref="A39:A47" si="1">A38+0.01</f>
        <v>2.0099999999999998</v>
      </c>
      <c r="B39" s="3" t="s">
        <v>140</v>
      </c>
      <c r="C39" s="3"/>
      <c r="D39" s="42"/>
      <c r="E39" s="3" t="s">
        <v>141</v>
      </c>
      <c r="F39" s="3"/>
      <c r="G39" s="3"/>
    </row>
    <row r="40" spans="1:7" outlineLevel="1" x14ac:dyDescent="0.25">
      <c r="A40" s="57">
        <f t="shared" si="1"/>
        <v>2.0199999999999996</v>
      </c>
      <c r="B40" s="3" t="s">
        <v>142</v>
      </c>
      <c r="D40" s="42"/>
      <c r="E40" s="3" t="s">
        <v>141</v>
      </c>
      <c r="F40" s="3"/>
      <c r="G40" s="3"/>
    </row>
    <row r="41" spans="1:7" outlineLevel="1" x14ac:dyDescent="0.25">
      <c r="A41" s="57">
        <f t="shared" si="1"/>
        <v>2.0299999999999994</v>
      </c>
      <c r="B41" s="3" t="s">
        <v>143</v>
      </c>
      <c r="C41" s="3"/>
      <c r="D41" s="42"/>
      <c r="E41" s="3" t="s">
        <v>141</v>
      </c>
      <c r="F41" s="3"/>
      <c r="G41" s="3"/>
    </row>
    <row r="42" spans="1:7" outlineLevel="1" x14ac:dyDescent="0.25">
      <c r="A42" s="57">
        <f t="shared" si="1"/>
        <v>2.0399999999999991</v>
      </c>
      <c r="B42" s="3" t="s">
        <v>144</v>
      </c>
      <c r="C42" s="71"/>
      <c r="D42" s="42"/>
      <c r="E42" s="3" t="s">
        <v>141</v>
      </c>
      <c r="F42" s="3"/>
      <c r="G42" s="3"/>
    </row>
    <row r="43" spans="1:7" outlineLevel="1" x14ac:dyDescent="0.25">
      <c r="A43" s="57">
        <f t="shared" si="1"/>
        <v>2.0499999999999989</v>
      </c>
      <c r="B43" s="3" t="s">
        <v>145</v>
      </c>
      <c r="C43" s="3"/>
      <c r="D43" s="42"/>
      <c r="E43" s="3" t="s">
        <v>141</v>
      </c>
      <c r="F43" s="3"/>
      <c r="G43" s="3"/>
    </row>
    <row r="44" spans="1:7" outlineLevel="1" x14ac:dyDescent="0.25">
      <c r="A44" s="57">
        <f t="shared" si="1"/>
        <v>2.0599999999999987</v>
      </c>
      <c r="B44" s="3" t="s">
        <v>146</v>
      </c>
      <c r="C44" s="3"/>
      <c r="D44" s="42"/>
      <c r="E44" s="3" t="s">
        <v>141</v>
      </c>
      <c r="F44" s="3"/>
      <c r="G44" s="3"/>
    </row>
    <row r="45" spans="1:7" outlineLevel="1" x14ac:dyDescent="0.25">
      <c r="A45" s="57">
        <f t="shared" si="1"/>
        <v>2.0699999999999985</v>
      </c>
      <c r="B45" s="3" t="s">
        <v>147</v>
      </c>
      <c r="C45" s="3"/>
      <c r="D45" s="42"/>
      <c r="E45" s="3" t="s">
        <v>141</v>
      </c>
      <c r="F45" s="3"/>
      <c r="G45" s="3"/>
    </row>
    <row r="46" spans="1:7" ht="27" outlineLevel="1" x14ac:dyDescent="0.25">
      <c r="A46" s="57">
        <f t="shared" si="1"/>
        <v>2.0799999999999983</v>
      </c>
      <c r="B46" s="3" t="s">
        <v>148</v>
      </c>
      <c r="C46" s="3"/>
      <c r="D46" s="42"/>
      <c r="E46" s="3" t="s">
        <v>141</v>
      </c>
      <c r="F46" s="3"/>
      <c r="G46" s="3"/>
    </row>
    <row r="47" spans="1:7" outlineLevel="1" x14ac:dyDescent="0.25">
      <c r="A47" s="57">
        <f t="shared" si="1"/>
        <v>2.0899999999999981</v>
      </c>
      <c r="B47" s="3" t="s">
        <v>149</v>
      </c>
      <c r="C47" s="3"/>
      <c r="D47" s="42"/>
      <c r="E47" s="3" t="s">
        <v>141</v>
      </c>
      <c r="F47" s="3"/>
      <c r="G47" s="3"/>
    </row>
    <row r="48" spans="1:7" x14ac:dyDescent="0.25">
      <c r="A48" s="58"/>
      <c r="B48" s="51"/>
      <c r="C48" s="51"/>
      <c r="D48" s="51"/>
      <c r="E48" s="51"/>
      <c r="F48" s="51"/>
      <c r="G48" s="51"/>
    </row>
    <row r="49" spans="1:7" ht="15" x14ac:dyDescent="0.25">
      <c r="A49" s="55">
        <f>A38+1</f>
        <v>3</v>
      </c>
      <c r="B49" s="45" t="s">
        <v>150</v>
      </c>
      <c r="C49" s="45"/>
      <c r="D49" s="45"/>
      <c r="E49" s="45"/>
      <c r="F49" s="45"/>
      <c r="G49" s="45"/>
    </row>
    <row r="50" spans="1:7" s="8" customFormat="1" outlineLevel="1" x14ac:dyDescent="0.25">
      <c r="A50" s="73">
        <f>A49+0.01</f>
        <v>3.01</v>
      </c>
      <c r="B50" s="74" t="s">
        <v>151</v>
      </c>
      <c r="C50" s="3"/>
      <c r="D50" s="42"/>
      <c r="E50" s="3" t="s">
        <v>132</v>
      </c>
      <c r="F50" s="3"/>
      <c r="G50" s="3"/>
    </row>
    <row r="51" spans="1:7" s="8" customFormat="1" outlineLevel="1" x14ac:dyDescent="0.25">
      <c r="A51" s="73">
        <f>A50+0.01</f>
        <v>3.0199999999999996</v>
      </c>
      <c r="B51" s="3" t="s">
        <v>19</v>
      </c>
      <c r="C51" s="3"/>
      <c r="D51" s="42"/>
      <c r="E51" s="3"/>
      <c r="F51" s="3"/>
      <c r="G51" s="3"/>
    </row>
    <row r="52" spans="1:7" s="8" customFormat="1" outlineLevel="1" x14ac:dyDescent="0.25">
      <c r="A52" s="73">
        <f t="shared" ref="A52:A60" si="2">A51+0.01</f>
        <v>3.0299999999999994</v>
      </c>
      <c r="B52" s="3" t="s">
        <v>21</v>
      </c>
      <c r="C52" s="3"/>
      <c r="D52" s="42"/>
      <c r="E52" s="3"/>
      <c r="F52" s="3"/>
      <c r="G52" s="3"/>
    </row>
    <row r="53" spans="1:7" s="8" customFormat="1" outlineLevel="1" x14ac:dyDescent="0.25">
      <c r="A53" s="73">
        <f t="shared" si="2"/>
        <v>3.0399999999999991</v>
      </c>
      <c r="B53" s="74" t="s">
        <v>152</v>
      </c>
      <c r="C53" s="3"/>
      <c r="D53" s="42"/>
      <c r="E53" s="3" t="s">
        <v>132</v>
      </c>
      <c r="F53" s="3"/>
      <c r="G53" s="3"/>
    </row>
    <row r="54" spans="1:7" s="8" customFormat="1" outlineLevel="1" x14ac:dyDescent="0.25">
      <c r="A54" s="73">
        <f t="shared" si="2"/>
        <v>3.0499999999999989</v>
      </c>
      <c r="B54" s="74" t="s">
        <v>153</v>
      </c>
      <c r="C54" s="3"/>
      <c r="D54" s="42"/>
      <c r="E54" s="3" t="s">
        <v>132</v>
      </c>
      <c r="F54" s="3"/>
      <c r="G54" s="3"/>
    </row>
    <row r="55" spans="1:7" s="8" customFormat="1" outlineLevel="1" x14ac:dyDescent="0.25">
      <c r="A55" s="73">
        <f t="shared" si="2"/>
        <v>3.0599999999999987</v>
      </c>
      <c r="B55" s="3" t="s">
        <v>154</v>
      </c>
      <c r="C55" s="3"/>
      <c r="D55" s="42"/>
      <c r="E55" s="3" t="s">
        <v>132</v>
      </c>
      <c r="F55" s="3"/>
      <c r="G55" s="3"/>
    </row>
    <row r="56" spans="1:7" s="8" customFormat="1" outlineLevel="1" x14ac:dyDescent="0.25">
      <c r="A56" s="73">
        <f t="shared" si="2"/>
        <v>3.0699999999999985</v>
      </c>
      <c r="B56" s="3" t="s">
        <v>155</v>
      </c>
      <c r="C56" s="3"/>
      <c r="D56" s="42"/>
      <c r="E56" s="3" t="s">
        <v>132</v>
      </c>
      <c r="F56" s="3"/>
      <c r="G56" s="3"/>
    </row>
    <row r="57" spans="1:7" s="8" customFormat="1" ht="27" outlineLevel="1" x14ac:dyDescent="0.25">
      <c r="A57" s="73">
        <f t="shared" si="2"/>
        <v>3.0799999999999983</v>
      </c>
      <c r="B57" s="74" t="s">
        <v>25</v>
      </c>
      <c r="C57" s="3"/>
      <c r="D57" s="42"/>
      <c r="E57" s="3"/>
      <c r="F57" s="3"/>
      <c r="G57" s="3"/>
    </row>
    <row r="58" spans="1:7" s="8" customFormat="1" ht="27" outlineLevel="1" x14ac:dyDescent="0.25">
      <c r="A58" s="73">
        <f t="shared" si="2"/>
        <v>3.0899999999999981</v>
      </c>
      <c r="B58" s="74" t="s">
        <v>49</v>
      </c>
      <c r="C58" s="3"/>
      <c r="D58" s="42"/>
      <c r="E58" s="3"/>
      <c r="F58" s="3"/>
      <c r="G58" s="3"/>
    </row>
    <row r="59" spans="1:7" s="8" customFormat="1" outlineLevel="1" x14ac:dyDescent="0.25">
      <c r="A59" s="72">
        <f t="shared" si="2"/>
        <v>3.0999999999999979</v>
      </c>
      <c r="B59" s="3" t="s">
        <v>156</v>
      </c>
      <c r="C59" s="3"/>
      <c r="D59" s="42"/>
      <c r="E59" s="3"/>
      <c r="F59" s="3"/>
      <c r="G59" s="3"/>
    </row>
    <row r="60" spans="1:7" s="8" customFormat="1" ht="27" outlineLevel="1" x14ac:dyDescent="0.25">
      <c r="A60" s="73">
        <f t="shared" si="2"/>
        <v>3.1099999999999977</v>
      </c>
      <c r="B60" s="74" t="s">
        <v>157</v>
      </c>
      <c r="C60" s="3"/>
      <c r="D60" s="42"/>
      <c r="E60" s="3" t="s">
        <v>132</v>
      </c>
      <c r="F60" s="3"/>
      <c r="G60" s="3"/>
    </row>
    <row r="61" spans="1:7" s="8" customFormat="1" x14ac:dyDescent="0.25">
      <c r="A61" s="59"/>
      <c r="B61" s="52"/>
      <c r="C61" s="52"/>
      <c r="D61" s="52"/>
      <c r="E61" s="52"/>
      <c r="F61" s="52"/>
      <c r="G61" s="52"/>
    </row>
    <row r="62" spans="1:7" ht="15" x14ac:dyDescent="0.25">
      <c r="A62" s="55">
        <f>A49+1</f>
        <v>4</v>
      </c>
      <c r="B62" s="45" t="s">
        <v>158</v>
      </c>
      <c r="C62" s="45"/>
      <c r="D62" s="45"/>
      <c r="E62" s="45"/>
      <c r="F62" s="45"/>
      <c r="G62" s="45"/>
    </row>
    <row r="63" spans="1:7" ht="15" x14ac:dyDescent="0.25">
      <c r="A63" s="73">
        <f>A62+0.01</f>
        <v>4.01</v>
      </c>
      <c r="B63" s="4" t="s">
        <v>159</v>
      </c>
      <c r="C63" s="3"/>
      <c r="D63" s="3"/>
      <c r="E63" s="3" t="s">
        <v>132</v>
      </c>
      <c r="F63" s="3"/>
      <c r="G63" s="3"/>
    </row>
    <row r="64" spans="1:7" x14ac:dyDescent="0.25">
      <c r="A64" s="73"/>
      <c r="B64" s="74" t="s">
        <v>160</v>
      </c>
      <c r="C64" s="49"/>
      <c r="D64" s="42"/>
      <c r="E64" s="3" t="s">
        <v>132</v>
      </c>
      <c r="F64" s="3"/>
      <c r="G64" s="3"/>
    </row>
    <row r="65" spans="1:7" x14ac:dyDescent="0.25">
      <c r="A65" s="73"/>
      <c r="B65" s="74" t="s">
        <v>161</v>
      </c>
      <c r="C65" s="49"/>
      <c r="D65" s="42"/>
      <c r="E65" s="3" t="s">
        <v>132</v>
      </c>
      <c r="F65" s="3"/>
      <c r="G65" s="3"/>
    </row>
    <row r="66" spans="1:7" ht="15" x14ac:dyDescent="0.25">
      <c r="A66" s="73">
        <f>A63+0.01</f>
        <v>4.0199999999999996</v>
      </c>
      <c r="B66" s="4" t="s">
        <v>162</v>
      </c>
      <c r="C66" s="3"/>
      <c r="D66" s="3"/>
      <c r="E66" s="3" t="s">
        <v>132</v>
      </c>
      <c r="F66" s="3"/>
      <c r="G66" s="3"/>
    </row>
    <row r="67" spans="1:7" x14ac:dyDescent="0.25">
      <c r="A67" s="73"/>
      <c r="B67" s="74" t="s">
        <v>163</v>
      </c>
      <c r="C67" s="3"/>
      <c r="D67" s="42"/>
      <c r="E67" s="3" t="s">
        <v>132</v>
      </c>
      <c r="F67" s="3"/>
      <c r="G67" s="3"/>
    </row>
    <row r="68" spans="1:7" x14ac:dyDescent="0.25">
      <c r="A68" s="73"/>
      <c r="B68" s="74" t="s">
        <v>164</v>
      </c>
      <c r="C68" s="3"/>
      <c r="D68" s="42"/>
      <c r="E68" s="3" t="s">
        <v>132</v>
      </c>
      <c r="F68" s="3"/>
      <c r="G68" s="3"/>
    </row>
    <row r="69" spans="1:7" x14ac:dyDescent="0.25">
      <c r="A69" s="73"/>
      <c r="B69" s="74" t="s">
        <v>165</v>
      </c>
      <c r="C69" s="3"/>
      <c r="D69" s="42"/>
      <c r="E69" s="3" t="s">
        <v>132</v>
      </c>
      <c r="F69" s="3"/>
      <c r="G69" s="3"/>
    </row>
    <row r="70" spans="1:7" x14ac:dyDescent="0.25">
      <c r="A70" s="73">
        <f>A66+0.01</f>
        <v>4.0299999999999994</v>
      </c>
      <c r="B70" s="3" t="s">
        <v>166</v>
      </c>
      <c r="C70" s="3"/>
      <c r="D70" s="42"/>
      <c r="E70" s="3" t="s">
        <v>132</v>
      </c>
      <c r="F70" s="3"/>
      <c r="G70" s="3"/>
    </row>
    <row r="71" spans="1:7" x14ac:dyDescent="0.25">
      <c r="A71" s="73">
        <f>A70+0.01</f>
        <v>4.0399999999999991</v>
      </c>
      <c r="B71" s="3" t="s">
        <v>167</v>
      </c>
      <c r="C71" s="3"/>
      <c r="D71" s="42"/>
      <c r="E71" s="3" t="s">
        <v>132</v>
      </c>
      <c r="F71" s="3"/>
      <c r="G71" s="3" t="s">
        <v>168</v>
      </c>
    </row>
    <row r="72" spans="1:7" x14ac:dyDescent="0.25">
      <c r="A72" s="73">
        <f>A71+0.01</f>
        <v>4.0499999999999989</v>
      </c>
      <c r="B72" s="74" t="s">
        <v>169</v>
      </c>
      <c r="C72" s="3"/>
      <c r="D72" s="42"/>
      <c r="E72" s="3"/>
      <c r="F72" s="3"/>
      <c r="G72" s="3"/>
    </row>
    <row r="73" spans="1:7" x14ac:dyDescent="0.25">
      <c r="A73" s="73">
        <f t="shared" ref="A73" si="3">A72+0.01</f>
        <v>4.0599999999999987</v>
      </c>
      <c r="B73" s="3" t="s">
        <v>41</v>
      </c>
      <c r="C73" s="3"/>
      <c r="D73" s="42"/>
      <c r="E73" s="3"/>
      <c r="F73" s="3"/>
      <c r="G73" s="3"/>
    </row>
    <row r="74" spans="1:7" ht="27" x14ac:dyDescent="0.25">
      <c r="A74" s="73">
        <f>A73+0.01</f>
        <v>4.0699999999999985</v>
      </c>
      <c r="B74" s="74" t="s">
        <v>45</v>
      </c>
      <c r="C74" s="3"/>
      <c r="D74" s="42"/>
      <c r="E74" s="3"/>
      <c r="F74" s="3"/>
      <c r="G74" s="3"/>
    </row>
    <row r="75" spans="1:7" ht="27" x14ac:dyDescent="0.25">
      <c r="A75" s="73">
        <f t="shared" ref="A75" si="4">A74+0.01</f>
        <v>4.0799999999999983</v>
      </c>
      <c r="B75" s="3" t="s">
        <v>47</v>
      </c>
      <c r="C75" s="3"/>
      <c r="D75" s="42"/>
      <c r="E75" s="3"/>
      <c r="F75" s="3"/>
      <c r="G75" s="3"/>
    </row>
    <row r="76" spans="1:7" x14ac:dyDescent="0.25">
      <c r="A76" s="60"/>
      <c r="B76" s="53"/>
      <c r="C76" s="53"/>
      <c r="D76" s="53"/>
      <c r="E76" s="53"/>
      <c r="F76" s="53"/>
      <c r="G76" s="53"/>
    </row>
    <row r="77" spans="1:7" ht="15" x14ac:dyDescent="0.25">
      <c r="A77" s="55">
        <f>A62+1</f>
        <v>5</v>
      </c>
      <c r="B77" s="45" t="s">
        <v>170</v>
      </c>
      <c r="C77" s="45"/>
      <c r="D77" s="45"/>
      <c r="E77" s="45"/>
      <c r="F77" s="45"/>
      <c r="G77" s="45"/>
    </row>
    <row r="78" spans="1:7" ht="40.5" x14ac:dyDescent="0.25">
      <c r="A78" s="73">
        <f>A77+0.01</f>
        <v>5.01</v>
      </c>
      <c r="B78" s="3" t="s">
        <v>171</v>
      </c>
      <c r="C78" s="3"/>
      <c r="D78" s="42"/>
      <c r="E78" s="3" t="s">
        <v>132</v>
      </c>
      <c r="F78" s="3"/>
      <c r="G78" s="3"/>
    </row>
    <row r="79" spans="1:7" x14ac:dyDescent="0.25">
      <c r="A79" s="60"/>
      <c r="B79" s="53"/>
      <c r="C79" s="53"/>
      <c r="D79" s="53"/>
      <c r="E79" s="53"/>
      <c r="F79" s="53"/>
      <c r="G79" s="53"/>
    </row>
    <row r="80" spans="1:7" ht="15" x14ac:dyDescent="0.25">
      <c r="A80" s="55">
        <f>A77+1</f>
        <v>6</v>
      </c>
      <c r="B80" s="45" t="s">
        <v>172</v>
      </c>
      <c r="C80" s="45"/>
      <c r="D80" s="45"/>
      <c r="E80" s="45"/>
      <c r="F80" s="45"/>
      <c r="G80" s="45"/>
    </row>
    <row r="81" spans="1:9" x14ac:dyDescent="0.25">
      <c r="A81" s="72">
        <f>A80+0.01</f>
        <v>6.01</v>
      </c>
      <c r="B81" s="3" t="s">
        <v>52</v>
      </c>
      <c r="C81" s="3"/>
      <c r="D81" s="42"/>
      <c r="E81" s="3"/>
      <c r="F81" s="3"/>
      <c r="G81" s="3"/>
    </row>
    <row r="82" spans="1:9" x14ac:dyDescent="0.25">
      <c r="A82" s="72">
        <f t="shared" ref="A82:A84" si="5">A81+0.01</f>
        <v>6.02</v>
      </c>
      <c r="B82" s="3" t="s">
        <v>54</v>
      </c>
      <c r="C82" s="49"/>
      <c r="D82" s="42"/>
      <c r="E82" s="3"/>
      <c r="F82" s="3"/>
      <c r="G82" s="3"/>
    </row>
    <row r="83" spans="1:9" x14ac:dyDescent="0.25">
      <c r="A83" s="72">
        <f t="shared" si="5"/>
        <v>6.0299999999999994</v>
      </c>
      <c r="B83" s="3" t="s">
        <v>56</v>
      </c>
      <c r="C83" s="3"/>
      <c r="D83" s="42"/>
      <c r="E83" s="3"/>
      <c r="F83" s="3"/>
      <c r="G83" s="3"/>
    </row>
    <row r="84" spans="1:9" ht="27" x14ac:dyDescent="0.25">
      <c r="A84" s="72">
        <f t="shared" si="5"/>
        <v>6.0399999999999991</v>
      </c>
      <c r="B84" s="3" t="s">
        <v>173</v>
      </c>
      <c r="C84" s="3"/>
      <c r="D84" s="42"/>
      <c r="E84" s="3"/>
      <c r="F84" s="3"/>
      <c r="G84" s="3"/>
    </row>
    <row r="85" spans="1:9" x14ac:dyDescent="0.25">
      <c r="A85" s="60"/>
      <c r="B85" s="53"/>
      <c r="C85" s="53"/>
      <c r="D85" s="53"/>
      <c r="E85" s="53"/>
      <c r="F85" s="53"/>
      <c r="G85" s="53"/>
    </row>
    <row r="86" spans="1:9" ht="15" x14ac:dyDescent="0.25">
      <c r="A86" s="55">
        <f>A80+1</f>
        <v>7</v>
      </c>
      <c r="B86" s="45" t="s">
        <v>174</v>
      </c>
      <c r="C86" s="45"/>
      <c r="D86" s="45"/>
      <c r="E86" s="45"/>
      <c r="F86" s="45"/>
      <c r="G86" s="45"/>
    </row>
    <row r="87" spans="1:9" x14ac:dyDescent="0.25">
      <c r="A87" s="72">
        <f>A86+0.01</f>
        <v>7.01</v>
      </c>
      <c r="B87" s="74" t="s">
        <v>23</v>
      </c>
      <c r="C87" s="3"/>
      <c r="D87" s="42"/>
      <c r="E87" s="3" t="s">
        <v>132</v>
      </c>
      <c r="F87" s="3"/>
      <c r="G87" s="3"/>
    </row>
    <row r="88" spans="1:9" x14ac:dyDescent="0.25">
      <c r="A88" s="72">
        <f t="shared" ref="A88" si="6">A87+0.01</f>
        <v>7.02</v>
      </c>
      <c r="B88" s="3" t="s">
        <v>175</v>
      </c>
      <c r="C88" s="3"/>
      <c r="D88" s="42"/>
      <c r="E88" s="3" t="s">
        <v>132</v>
      </c>
      <c r="F88" s="3"/>
      <c r="G88" s="3"/>
    </row>
    <row r="89" spans="1:9" ht="40.5" x14ac:dyDescent="0.25">
      <c r="A89" s="72">
        <f>A88+0.01</f>
        <v>7.0299999999999994</v>
      </c>
      <c r="B89" s="74" t="s">
        <v>176</v>
      </c>
      <c r="C89" s="3"/>
      <c r="D89" s="42"/>
      <c r="E89" s="3" t="s">
        <v>132</v>
      </c>
      <c r="F89" s="3"/>
      <c r="G89" s="3" t="s">
        <v>177</v>
      </c>
    </row>
    <row r="90" spans="1:9" x14ac:dyDescent="0.2">
      <c r="A90" s="54"/>
      <c r="B90" s="54"/>
      <c r="C90" s="54"/>
      <c r="D90" s="54"/>
      <c r="E90" s="54"/>
      <c r="F90" s="54"/>
      <c r="G90" s="54"/>
    </row>
    <row r="91" spans="1:9" ht="15" x14ac:dyDescent="0.2">
      <c r="A91" s="137" t="s">
        <v>178</v>
      </c>
      <c r="B91" s="138"/>
      <c r="C91" s="138"/>
      <c r="D91" s="138"/>
      <c r="E91" s="138"/>
      <c r="F91" s="138"/>
      <c r="G91" s="139"/>
    </row>
    <row r="92" spans="1:9" ht="22.5" customHeight="1" x14ac:dyDescent="0.2">
      <c r="A92" s="140"/>
      <c r="B92" s="140"/>
      <c r="C92" s="140"/>
      <c r="D92" s="140"/>
      <c r="E92" s="140"/>
      <c r="F92" s="140"/>
      <c r="G92" s="140"/>
    </row>
    <row r="93" spans="1:9" ht="50.25" customHeight="1" x14ac:dyDescent="0.2">
      <c r="A93" s="133" t="s">
        <v>179</v>
      </c>
      <c r="B93" s="134"/>
      <c r="C93" s="134"/>
      <c r="D93" s="134"/>
      <c r="E93" s="134"/>
      <c r="F93" s="134"/>
      <c r="G93" s="135"/>
      <c r="H93" s="9"/>
      <c r="I93" s="9"/>
    </row>
    <row r="94" spans="1:9" x14ac:dyDescent="0.2">
      <c r="A94" s="16"/>
      <c r="B94" s="16"/>
      <c r="C94" s="10"/>
      <c r="D94" s="10"/>
      <c r="E94" s="10"/>
      <c r="F94" s="10"/>
      <c r="G94" s="10"/>
      <c r="H94" s="10"/>
      <c r="I94" s="10"/>
    </row>
    <row r="95" spans="1:9" x14ac:dyDescent="0.2">
      <c r="B95" s="11"/>
    </row>
    <row r="1048576" spans="5:5" x14ac:dyDescent="0.2">
      <c r="E1048576" s="2">
        <v>99</v>
      </c>
    </row>
  </sheetData>
  <mergeCells count="8">
    <mergeCell ref="F1:G1"/>
    <mergeCell ref="A20:A22"/>
    <mergeCell ref="B20:B22"/>
    <mergeCell ref="E2:F2"/>
    <mergeCell ref="A93:G93"/>
    <mergeCell ref="C2:D2"/>
    <mergeCell ref="A91:G91"/>
    <mergeCell ref="A92:G92"/>
  </mergeCells>
  <dataValidations count="8">
    <dataValidation type="list" allowBlank="1" showInputMessage="1" showErrorMessage="1" sqref="D84" xr:uid="{DA9A58E3-7D11-4591-BBA1-AC413AF66740}">
      <formula1>"Frauscher standard,Customer standard(Refer Remarks)"</formula1>
    </dataValidation>
    <dataValidation type="list" allowBlank="1" showInputMessage="1" showErrorMessage="1" sqref="C78 C74" xr:uid="{371453FB-39F0-4AE0-9055-E17CFF6DF70A}">
      <formula1>"Yes,No"</formula1>
    </dataValidation>
    <dataValidation type="list" allowBlank="1" showInputMessage="1" showErrorMessage="1" sqref="C81 C83:C84" xr:uid="{62A2F3F7-D8BA-4B5E-8D1E-09519771F3A7}">
      <formula1>"Frauscher Standard, Customer Specific(To be provided by Customer)"</formula1>
    </dataValidation>
    <dataValidation type="list" allowBlank="1" showInputMessage="1" showErrorMessage="1" sqref="C87" xr:uid="{600F9B7D-7E2B-4A8C-BFD8-58A2AD6F973F}">
      <formula1>"24V DC,230V AC"</formula1>
    </dataValidation>
    <dataValidation type="list" allowBlank="1" showInputMessage="1" showErrorMessage="1" sqref="C88:C89" xr:uid="{3B962293-E510-4DE2-84A3-DB6DBCF696AC}">
      <formula1>"Not Applicable,No,Yes (Refer Remarks)"</formula1>
    </dataValidation>
    <dataValidation type="list" allowBlank="1" showInputMessage="1" showErrorMessage="1" sqref="C82" xr:uid="{220D88EE-2820-4943-9FF5-A7BBD25DB657}">
      <formula1>"A2 SIZE,A3 SIZE"</formula1>
    </dataValidation>
    <dataValidation type="list" allowBlank="1" showInputMessage="1" showErrorMessage="1" sqref="C40" xr:uid="{C040CF26-E27E-43E1-8FBA-2842F7FF97AB}">
      <formula1>"ACB129,ACB130"</formula1>
    </dataValidation>
    <dataValidation type="list" allowBlank="1" showInputMessage="1" showErrorMessage="1" sqref="C41" xr:uid="{17D630C2-2455-4C52-9A46-4C5E5C40E541}">
      <formula1>"ABP2-6"</formula1>
    </dataValidation>
  </dataValidations>
  <pageMargins left="0.70866141732283472" right="0.70866141732283472" top="0.74803149606299213" bottom="0.74803149606299213" header="0.31496062992125984" footer="0.31496062992125984"/>
  <pageSetup paperSize="8" scale="89" fitToWidth="6" fitToHeight="6" orientation="landscape" r:id="rId1"/>
  <headerFooter>
    <oddFooter>&amp;L&amp;"Arial,Italic"&amp;K01+021an internal document of Frauscher India&amp;C&amp;K01+021FSTI/AD/QSF/PDQ-11&amp;R&amp;K01+021Page &amp;P of &amp;N</oddFooter>
  </headerFooter>
  <rowBreaks count="2" manualBreakCount="2">
    <brk id="61" max="7" man="1"/>
    <brk id="79" max="7" man="1"/>
  </rowBreaks>
  <ignoredErrors>
    <ignoredError sqref="A77" unlockedFormula="1"/>
    <ignoredError sqref="A7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2">
        <x14:dataValidation type="list" allowBlank="1" showInputMessage="1" showErrorMessage="1" xr:uid="{1F3F37F2-33DB-45CB-B17D-603BC1B814B7}">
          <x14:formula1>
            <xm:f>'DD List'!$J$27:$J$29</xm:f>
          </x14:formula1>
          <xm:sqref>C75</xm:sqref>
        </x14:dataValidation>
        <x14:dataValidation type="list" allowBlank="1" showInputMessage="1" showErrorMessage="1" xr:uid="{6DC18DC5-1ED5-43E7-B17E-77C1284324EA}">
          <x14:formula1>
            <xm:f>'DD List'!$F$21:$F$25</xm:f>
          </x14:formula1>
          <xm:sqref>C50</xm:sqref>
        </x14:dataValidation>
        <x14:dataValidation type="list" allowBlank="1" showInputMessage="1" showErrorMessage="1" xr:uid="{E3EA1F02-8C03-46CF-B16F-3730D42D7FB8}">
          <x14:formula1>
            <xm:f>'DD List'!$B$3:$B$4</xm:f>
          </x14:formula1>
          <xm:sqref>C18 C20:C22</xm:sqref>
        </x14:dataValidation>
        <x14:dataValidation type="list" allowBlank="1" showInputMessage="1" showErrorMessage="1" xr:uid="{3732066A-7BC0-40E7-9F5A-52F5B0498169}">
          <x14:formula1>
            <xm:f>'DD List'!$B$21:$B$22</xm:f>
          </x14:formula1>
          <xm:sqref>C23 C36</xm:sqref>
        </x14:dataValidation>
        <x14:dataValidation type="list" allowBlank="1" showInputMessage="1" showErrorMessage="1" xr:uid="{3C3005C8-FED3-48FD-AB08-2DE6B5CBD8DC}">
          <x14:formula1>
            <xm:f>'DD List'!$B$24:$B$31</xm:f>
          </x14:formula1>
          <xm:sqref>C24</xm:sqref>
        </x14:dataValidation>
        <x14:dataValidation type="list" allowBlank="1" showInputMessage="1" showErrorMessage="1" xr:uid="{F8AC179B-E458-4165-93C3-DD0B242FAA69}">
          <x14:formula1>
            <xm:f>'DD List'!$B$33:$B$35</xm:f>
          </x14:formula1>
          <xm:sqref>C25:C27</xm:sqref>
        </x14:dataValidation>
        <x14:dataValidation type="list" allowBlank="1" showInputMessage="1" showErrorMessage="1" xr:uid="{C6CD5094-1940-457C-B894-68FC6072D278}">
          <x14:formula1>
            <xm:f>'DD List'!$B$37:$B$42</xm:f>
          </x14:formula1>
          <xm:sqref>C28 C42</xm:sqref>
        </x14:dataValidation>
        <x14:dataValidation type="list" allowBlank="1" showInputMessage="1" showErrorMessage="1" xr:uid="{38E1A1AB-845F-4235-824A-D9871CCD9C79}">
          <x14:formula1>
            <xm:f>'DD List'!$B$44:$B$54</xm:f>
          </x14:formula1>
          <xm:sqref>C29</xm:sqref>
        </x14:dataValidation>
        <x14:dataValidation type="list" allowBlank="1" showInputMessage="1" showErrorMessage="1" xr:uid="{30DCB6BB-9B42-42B8-8369-FEA38AA49CEC}">
          <x14:formula1>
            <xm:f>'DD List'!$B$56:$B$59</xm:f>
          </x14:formula1>
          <xm:sqref>C30:C31 C33</xm:sqref>
        </x14:dataValidation>
        <x14:dataValidation type="list" allowBlank="1" showInputMessage="1" showErrorMessage="1" xr:uid="{FABDED4E-B281-4B5C-808D-D125636A9F03}">
          <x14:formula1>
            <xm:f>'DD List'!$B$65:$B$68</xm:f>
          </x14:formula1>
          <xm:sqref>C34</xm:sqref>
        </x14:dataValidation>
        <x14:dataValidation type="list" allowBlank="1" showInputMessage="1" showErrorMessage="1" xr:uid="{A0D325F8-21DE-4D3B-8105-FEF3749B505C}">
          <x14:formula1>
            <xm:f>'DD List'!$B$70:$B$73</xm:f>
          </x14:formula1>
          <xm:sqref>C35</xm:sqref>
        </x14:dataValidation>
        <x14:dataValidation type="list" allowBlank="1" showInputMessage="1" showErrorMessage="1" xr:uid="{33916DBB-C187-4ADF-9013-D54992BBA40E}">
          <x14:formula1>
            <xm:f>'DD List'!$F$6:$F$9</xm:f>
          </x14:formula1>
          <xm:sqref>C39</xm:sqref>
        </x14:dataValidation>
        <x14:dataValidation type="list" allowBlank="1" showInputMessage="1" showErrorMessage="1" xr:uid="{8B3244B0-FCC7-463A-B611-969CFF8B4530}">
          <x14:formula1>
            <xm:f>'DD List'!$F$11:$F$13</xm:f>
          </x14:formula1>
          <xm:sqref>C43:C44 C46:C47</xm:sqref>
        </x14:dataValidation>
        <x14:dataValidation type="list" allowBlank="1" showInputMessage="1" showErrorMessage="1" xr:uid="{E0FE399D-5B2B-4FA3-9CFA-96CFEF34EBD1}">
          <x14:formula1>
            <xm:f>'DD List'!$F$15:$F$18</xm:f>
          </x14:formula1>
          <xm:sqref>C45</xm:sqref>
        </x14:dataValidation>
        <x14:dataValidation type="list" allowBlank="1" showInputMessage="1" showErrorMessage="1" xr:uid="{328A6B65-E399-45A7-AEE1-142C561A67BD}">
          <x14:formula1>
            <xm:f>'DD List'!$F$27:$F$28</xm:f>
          </x14:formula1>
          <xm:sqref>C51</xm:sqref>
        </x14:dataValidation>
        <x14:dataValidation type="list" allowBlank="1" showInputMessage="1" showErrorMessage="1" xr:uid="{2CF57697-A3B6-4CF2-B830-27F8886DF60C}">
          <x14:formula1>
            <xm:f>'DD List'!$F$30:$F$31</xm:f>
          </x14:formula1>
          <xm:sqref>C52</xm:sqref>
        </x14:dataValidation>
        <x14:dataValidation type="list" allowBlank="1" showInputMessage="1" showErrorMessage="1" xr:uid="{BF440DA0-400A-4922-8F6F-0A183D02AB4A}">
          <x14:formula1>
            <xm:f>'DD List'!$F$33:$F$34</xm:f>
          </x14:formula1>
          <xm:sqref>C53</xm:sqref>
        </x14:dataValidation>
        <x14:dataValidation type="list" allowBlank="1" showInputMessage="1" showErrorMessage="1" xr:uid="{2D61ED14-1E44-4054-B47F-D65A4AEF0C52}">
          <x14:formula1>
            <xm:f>'DD List'!$F$36:$F$38</xm:f>
          </x14:formula1>
          <xm:sqref>C54</xm:sqref>
        </x14:dataValidation>
        <x14:dataValidation type="list" allowBlank="1" showInputMessage="1" showErrorMessage="1" xr:uid="{0383ED81-FDB7-42AD-9294-B74E82C56628}">
          <x14:formula1>
            <xm:f>'DD List'!$F$40:$F$44</xm:f>
          </x14:formula1>
          <xm:sqref>C55</xm:sqref>
        </x14:dataValidation>
        <x14:dataValidation type="list" allowBlank="1" showInputMessage="1" showErrorMessage="1" xr:uid="{C134BC37-F69E-40C0-9CB4-BFECE903CC70}">
          <x14:formula1>
            <xm:f>'DD List'!$F$62:$F$65</xm:f>
          </x14:formula1>
          <xm:sqref>C56</xm:sqref>
        </x14:dataValidation>
        <x14:dataValidation type="list" allowBlank="1" showInputMessage="1" showErrorMessage="1" xr:uid="{E5FF5764-CE07-42E1-B162-5E67F58CFAEC}">
          <x14:formula1>
            <xm:f>'DD List'!$F$67:$F$69</xm:f>
          </x14:formula1>
          <xm:sqref>C57</xm:sqref>
        </x14:dataValidation>
        <x14:dataValidation type="list" allowBlank="1" showInputMessage="1" showErrorMessage="1" xr:uid="{A1804D88-F00F-4598-8517-4FC0F648401F}">
          <x14:formula1>
            <xm:f>'DD List'!$F$76:$F$79</xm:f>
          </x14:formula1>
          <xm:sqref>C58</xm:sqref>
        </x14:dataValidation>
        <x14:dataValidation type="list" allowBlank="1" showInputMessage="1" showErrorMessage="1" xr:uid="{1710F124-4568-45D4-A914-ECD38BF932FF}">
          <x14:formula1>
            <xm:f>'DD List'!$F$81:$F$83</xm:f>
          </x14:formula1>
          <xm:sqref>C59</xm:sqref>
        </x14:dataValidation>
        <x14:dataValidation type="list" allowBlank="1" showInputMessage="1" showErrorMessage="1" xr:uid="{AE0C4C3D-2E38-4015-84D9-8B3141470238}">
          <x14:formula1>
            <xm:f>'DD List'!$F$86:$F$90</xm:f>
          </x14:formula1>
          <xm:sqref>C60</xm:sqref>
        </x14:dataValidation>
        <x14:dataValidation type="list" allowBlank="1" showInputMessage="1" showErrorMessage="1" xr:uid="{497D3BD5-8371-489E-9AC6-56022FDE57EB}">
          <x14:formula1>
            <xm:f>'DD List'!$J$3:$J$5</xm:f>
          </x14:formula1>
          <xm:sqref>C66:C69</xm:sqref>
        </x14:dataValidation>
        <x14:dataValidation type="list" allowBlank="1" showInputMessage="1" showErrorMessage="1" xr:uid="{3E4A789F-7F89-4FE1-8848-679B5EA3E34A}">
          <x14:formula1>
            <xm:f>'DD List'!$J$9:$J$12</xm:f>
          </x14:formula1>
          <xm:sqref>C70</xm:sqref>
        </x14:dataValidation>
        <x14:dataValidation type="list" allowBlank="1" showInputMessage="1" showErrorMessage="1" xr:uid="{2A87C849-986B-4620-A1D9-6487FA3823C7}">
          <x14:formula1>
            <xm:f>'DD List'!$J$14:$J$15</xm:f>
          </x14:formula1>
          <xm:sqref>C71</xm:sqref>
        </x14:dataValidation>
        <x14:dataValidation type="list" allowBlank="1" showInputMessage="1" showErrorMessage="1" xr:uid="{B6D95230-2E29-4BB7-A0C7-53E933F2AFA4}">
          <x14:formula1>
            <xm:f>'DD List'!$J$17:$J$20</xm:f>
          </x14:formula1>
          <xm:sqref>C72</xm:sqref>
        </x14:dataValidation>
        <x14:dataValidation type="list" allowBlank="1" showInputMessage="1" showErrorMessage="1" xr:uid="{9B9B660C-B37D-49DA-841F-11E6996E9BD0}">
          <x14:formula1>
            <xm:f>'DD List'!$J$22:$J$25</xm:f>
          </x14:formula1>
          <xm:sqref>C73</xm:sqref>
        </x14:dataValidation>
        <x14:dataValidation type="list" allowBlank="1" showInputMessage="1" showErrorMessage="1" xr:uid="{7AA4D035-8031-4A97-AFA9-DEAE3F922E33}">
          <x14:formula1>
            <xm:f>'DD List'!$B$15:$B$17</xm:f>
          </x14:formula1>
          <xm:sqref>C14</xm:sqref>
        </x14:dataValidation>
        <x14:dataValidation type="list" allowBlank="1" showInputMessage="1" showErrorMessage="1" xr:uid="{A2D2E108-9735-4B46-8F1F-965621039E27}">
          <x14:formula1>
            <xm:f>'DD List'!$B$6:$B$13</xm:f>
          </x14:formula1>
          <xm:sqref>C12</xm:sqref>
        </x14:dataValidation>
        <x14:dataValidation type="list" allowBlank="1" showInputMessage="1" showErrorMessage="1" xr:uid="{C59BF05C-E800-4108-A3AA-EAE462884600}">
          <x14:formula1>
            <xm:f>'DD List'!$J$31:$J$34</xm:f>
          </x14:formula1>
          <xm:sqref>C64:C65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E420-8299-4D17-A9F4-BB325300C1F6}">
  <dimension ref="A1:C25"/>
  <sheetViews>
    <sheetView workbookViewId="0">
      <selection activeCell="G38" sqref="G38"/>
    </sheetView>
  </sheetViews>
  <sheetFormatPr defaultRowHeight="12.75" x14ac:dyDescent="0.2"/>
  <cols>
    <col min="1" max="1" width="11.7109375" customWidth="1"/>
    <col min="2" max="2" width="21.42578125" customWidth="1"/>
    <col min="3" max="3" width="18.28515625" customWidth="1"/>
  </cols>
  <sheetData>
    <row r="1" spans="1:3" ht="31.5" customHeight="1" x14ac:dyDescent="0.2">
      <c r="A1" s="61" t="s">
        <v>180</v>
      </c>
      <c r="B1" s="62"/>
      <c r="C1" s="62"/>
    </row>
    <row r="2" spans="1:3" ht="27" customHeight="1" x14ac:dyDescent="0.2">
      <c r="A2" s="70" t="s">
        <v>181</v>
      </c>
      <c r="B2" s="70" t="s">
        <v>182</v>
      </c>
      <c r="C2" s="70" t="s">
        <v>183</v>
      </c>
    </row>
    <row r="3" spans="1:3" ht="13.5" x14ac:dyDescent="0.2">
      <c r="A3" s="3"/>
      <c r="B3" s="3"/>
      <c r="C3" s="3"/>
    </row>
    <row r="4" spans="1:3" ht="13.5" x14ac:dyDescent="0.2">
      <c r="A4" s="3"/>
      <c r="B4" s="3"/>
      <c r="C4" s="3"/>
    </row>
    <row r="5" spans="1:3" ht="13.5" x14ac:dyDescent="0.2">
      <c r="A5" s="3"/>
      <c r="B5" s="3"/>
      <c r="C5" s="3"/>
    </row>
    <row r="6" spans="1:3" ht="13.5" x14ac:dyDescent="0.2">
      <c r="A6" s="3"/>
      <c r="B6" s="3"/>
      <c r="C6" s="3"/>
    </row>
    <row r="7" spans="1:3" ht="13.5" x14ac:dyDescent="0.2">
      <c r="A7" s="3"/>
      <c r="B7" s="3"/>
      <c r="C7" s="3"/>
    </row>
    <row r="8" spans="1:3" ht="13.5" x14ac:dyDescent="0.2">
      <c r="A8" s="3"/>
      <c r="B8" s="3"/>
      <c r="C8" s="3"/>
    </row>
    <row r="9" spans="1:3" ht="13.5" x14ac:dyDescent="0.2">
      <c r="A9" s="3"/>
      <c r="B9" s="3"/>
      <c r="C9" s="3"/>
    </row>
    <row r="10" spans="1:3" ht="13.5" x14ac:dyDescent="0.2">
      <c r="A10" s="3"/>
      <c r="B10" s="3"/>
      <c r="C10" s="3"/>
    </row>
    <row r="11" spans="1:3" ht="13.5" x14ac:dyDescent="0.2">
      <c r="A11" s="3"/>
      <c r="B11" s="3"/>
      <c r="C11" s="3"/>
    </row>
    <row r="12" spans="1:3" ht="13.5" x14ac:dyDescent="0.2">
      <c r="A12" s="3"/>
      <c r="B12" s="3"/>
      <c r="C12" s="3"/>
    </row>
    <row r="13" spans="1:3" ht="13.5" x14ac:dyDescent="0.2">
      <c r="A13" s="3"/>
      <c r="B13" s="3"/>
      <c r="C13" s="3"/>
    </row>
    <row r="14" spans="1:3" ht="13.5" x14ac:dyDescent="0.2">
      <c r="A14" s="3"/>
      <c r="B14" s="3"/>
      <c r="C14" s="3"/>
    </row>
    <row r="15" spans="1:3" ht="13.5" x14ac:dyDescent="0.2">
      <c r="A15" s="3"/>
      <c r="B15" s="3"/>
      <c r="C15" s="3"/>
    </row>
    <row r="16" spans="1:3" ht="13.5" x14ac:dyDescent="0.2">
      <c r="A16" s="3"/>
      <c r="B16" s="3"/>
      <c r="C16" s="3"/>
    </row>
    <row r="17" spans="1:3" ht="13.5" x14ac:dyDescent="0.2">
      <c r="A17" s="3"/>
      <c r="B17" s="3"/>
      <c r="C17" s="3"/>
    </row>
    <row r="18" spans="1:3" ht="13.5" x14ac:dyDescent="0.2">
      <c r="A18" s="3"/>
      <c r="B18" s="3"/>
      <c r="C18" s="3"/>
    </row>
    <row r="19" spans="1:3" ht="13.5" x14ac:dyDescent="0.2">
      <c r="A19" s="3"/>
      <c r="B19" s="3"/>
      <c r="C19" s="3"/>
    </row>
    <row r="20" spans="1:3" ht="13.5" x14ac:dyDescent="0.2">
      <c r="A20" s="3"/>
      <c r="B20" s="3"/>
      <c r="C20" s="3"/>
    </row>
    <row r="21" spans="1:3" ht="13.5" x14ac:dyDescent="0.2">
      <c r="A21" s="3"/>
      <c r="B21" s="3"/>
      <c r="C21" s="3"/>
    </row>
    <row r="22" spans="1:3" ht="13.5" x14ac:dyDescent="0.2">
      <c r="A22" s="3"/>
      <c r="B22" s="3"/>
      <c r="C22" s="3"/>
    </row>
    <row r="23" spans="1:3" ht="13.5" x14ac:dyDescent="0.2">
      <c r="A23" s="3"/>
      <c r="B23" s="3"/>
      <c r="C23" s="3"/>
    </row>
    <row r="24" spans="1:3" ht="13.5" x14ac:dyDescent="0.2">
      <c r="A24" s="3"/>
      <c r="B24" s="3"/>
      <c r="C24" s="3"/>
    </row>
    <row r="25" spans="1:3" ht="13.5" x14ac:dyDescent="0.2">
      <c r="A25" s="3"/>
      <c r="B25" s="3"/>
      <c r="C25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1047-B97C-4A47-909E-59F2E1E03F70}">
  <dimension ref="A1:C39"/>
  <sheetViews>
    <sheetView workbookViewId="0">
      <selection activeCell="D18" sqref="D18"/>
    </sheetView>
  </sheetViews>
  <sheetFormatPr defaultColWidth="9.140625" defaultRowHeight="13.5" x14ac:dyDescent="0.2"/>
  <cols>
    <col min="1" max="1" width="9.140625" style="1"/>
    <col min="2" max="2" width="13.5703125" style="1" customWidth="1"/>
    <col min="3" max="3" width="46.7109375" style="1" customWidth="1"/>
    <col min="4" max="16384" width="9.140625" style="1"/>
  </cols>
  <sheetData>
    <row r="1" spans="1:3" ht="16.5" x14ac:dyDescent="0.2">
      <c r="A1" s="141" t="s">
        <v>184</v>
      </c>
      <c r="B1" s="142"/>
      <c r="C1" s="143"/>
    </row>
    <row r="2" spans="1:3" x14ac:dyDescent="0.25">
      <c r="A2" s="12">
        <v>1</v>
      </c>
      <c r="B2" s="12" t="s">
        <v>185</v>
      </c>
      <c r="C2" s="12" t="s">
        <v>186</v>
      </c>
    </row>
    <row r="3" spans="1:3" x14ac:dyDescent="0.25">
      <c r="A3" s="12">
        <v>2</v>
      </c>
      <c r="B3" s="12" t="s">
        <v>187</v>
      </c>
      <c r="C3" s="12" t="s">
        <v>188</v>
      </c>
    </row>
    <row r="4" spans="1:3" x14ac:dyDescent="0.25">
      <c r="A4" s="12">
        <v>3</v>
      </c>
      <c r="B4" s="12" t="s">
        <v>189</v>
      </c>
      <c r="C4" s="12" t="s">
        <v>190</v>
      </c>
    </row>
    <row r="5" spans="1:3" x14ac:dyDescent="0.25">
      <c r="A5" s="12">
        <v>4</v>
      </c>
      <c r="B5" s="12" t="s">
        <v>191</v>
      </c>
      <c r="C5" s="12" t="s">
        <v>192</v>
      </c>
    </row>
    <row r="6" spans="1:3" x14ac:dyDescent="0.25">
      <c r="A6" s="12">
        <v>5</v>
      </c>
      <c r="B6" s="12" t="s">
        <v>193</v>
      </c>
      <c r="C6" s="12" t="s">
        <v>194</v>
      </c>
    </row>
    <row r="7" spans="1:3" x14ac:dyDescent="0.25">
      <c r="A7" s="12">
        <v>6</v>
      </c>
      <c r="B7" s="12" t="s">
        <v>195</v>
      </c>
      <c r="C7" s="12" t="s">
        <v>196</v>
      </c>
    </row>
    <row r="8" spans="1:3" x14ac:dyDescent="0.25">
      <c r="A8" s="12">
        <v>7</v>
      </c>
      <c r="B8" s="12" t="s">
        <v>197</v>
      </c>
      <c r="C8" s="12" t="s">
        <v>198</v>
      </c>
    </row>
    <row r="9" spans="1:3" x14ac:dyDescent="0.25">
      <c r="A9" s="12">
        <v>8</v>
      </c>
      <c r="B9" s="12" t="s">
        <v>199</v>
      </c>
      <c r="C9" s="12" t="s">
        <v>200</v>
      </c>
    </row>
    <row r="10" spans="1:3" x14ac:dyDescent="0.25">
      <c r="A10" s="12">
        <v>9</v>
      </c>
      <c r="B10" s="12" t="s">
        <v>201</v>
      </c>
      <c r="C10" s="12" t="s">
        <v>202</v>
      </c>
    </row>
    <row r="11" spans="1:3" x14ac:dyDescent="0.25">
      <c r="A11" s="12">
        <v>10</v>
      </c>
      <c r="B11" s="12" t="s">
        <v>203</v>
      </c>
      <c r="C11" s="12" t="s">
        <v>204</v>
      </c>
    </row>
    <row r="12" spans="1:3" x14ac:dyDescent="0.25">
      <c r="A12" s="12">
        <v>11</v>
      </c>
      <c r="B12" s="12" t="s">
        <v>205</v>
      </c>
      <c r="C12" s="12" t="s">
        <v>206</v>
      </c>
    </row>
    <row r="13" spans="1:3" x14ac:dyDescent="0.25">
      <c r="A13" s="12">
        <v>12</v>
      </c>
      <c r="B13" s="12" t="s">
        <v>207</v>
      </c>
      <c r="C13" s="12" t="s">
        <v>208</v>
      </c>
    </row>
    <row r="14" spans="1:3" ht="27" x14ac:dyDescent="0.25">
      <c r="A14" s="12">
        <v>13</v>
      </c>
      <c r="B14" s="12" t="s">
        <v>209</v>
      </c>
      <c r="C14" s="12" t="s">
        <v>210</v>
      </c>
    </row>
    <row r="15" spans="1:3" x14ac:dyDescent="0.25">
      <c r="A15" s="12">
        <v>14</v>
      </c>
      <c r="B15" s="12" t="s">
        <v>211</v>
      </c>
      <c r="C15" s="12" t="s">
        <v>212</v>
      </c>
    </row>
    <row r="16" spans="1:3" x14ac:dyDescent="0.25">
      <c r="A16" s="12">
        <v>15</v>
      </c>
      <c r="B16" s="12" t="s">
        <v>213</v>
      </c>
      <c r="C16" s="12" t="s">
        <v>214</v>
      </c>
    </row>
    <row r="17" spans="1:3" x14ac:dyDescent="0.25">
      <c r="A17" s="12">
        <v>16</v>
      </c>
      <c r="B17" s="12" t="s">
        <v>215</v>
      </c>
      <c r="C17" s="12" t="s">
        <v>216</v>
      </c>
    </row>
    <row r="18" spans="1:3" x14ac:dyDescent="0.25">
      <c r="A18" s="12">
        <v>17</v>
      </c>
      <c r="B18" s="12" t="s">
        <v>217</v>
      </c>
      <c r="C18" s="12" t="s">
        <v>218</v>
      </c>
    </row>
    <row r="19" spans="1:3" x14ac:dyDescent="0.25">
      <c r="A19" s="12">
        <v>18</v>
      </c>
      <c r="B19" s="12" t="s">
        <v>219</v>
      </c>
      <c r="C19" s="12" t="s">
        <v>220</v>
      </c>
    </row>
    <row r="20" spans="1:3" x14ac:dyDescent="0.25">
      <c r="A20" s="12">
        <v>19</v>
      </c>
      <c r="B20" s="12" t="s">
        <v>221</v>
      </c>
      <c r="C20" s="12" t="s">
        <v>222</v>
      </c>
    </row>
    <row r="21" spans="1:3" x14ac:dyDescent="0.25">
      <c r="A21" s="12">
        <v>20</v>
      </c>
      <c r="B21" s="12" t="s">
        <v>223</v>
      </c>
      <c r="C21" s="12" t="s">
        <v>224</v>
      </c>
    </row>
    <row r="22" spans="1:3" x14ac:dyDescent="0.25">
      <c r="A22" s="12">
        <v>21</v>
      </c>
      <c r="B22" s="12" t="s">
        <v>225</v>
      </c>
      <c r="C22" s="12" t="s">
        <v>226</v>
      </c>
    </row>
    <row r="23" spans="1:3" x14ac:dyDescent="0.25">
      <c r="A23" s="12">
        <v>22</v>
      </c>
      <c r="B23" s="12" t="s">
        <v>227</v>
      </c>
      <c r="C23" s="12" t="s">
        <v>228</v>
      </c>
    </row>
    <row r="24" spans="1:3" x14ac:dyDescent="0.25">
      <c r="A24" s="12">
        <v>23</v>
      </c>
      <c r="B24" s="12" t="s">
        <v>229</v>
      </c>
      <c r="C24" s="12" t="s">
        <v>230</v>
      </c>
    </row>
    <row r="25" spans="1:3" x14ac:dyDescent="0.25">
      <c r="A25" s="12">
        <v>24</v>
      </c>
      <c r="B25" s="12" t="s">
        <v>231</v>
      </c>
      <c r="C25" s="12" t="s">
        <v>232</v>
      </c>
    </row>
    <row r="26" spans="1:3" x14ac:dyDescent="0.25">
      <c r="A26" s="12">
        <v>25</v>
      </c>
      <c r="B26" s="12" t="s">
        <v>233</v>
      </c>
      <c r="C26" s="12" t="s">
        <v>234</v>
      </c>
    </row>
    <row r="27" spans="1:3" x14ac:dyDescent="0.25">
      <c r="A27" s="12">
        <v>26</v>
      </c>
      <c r="B27" s="12" t="s">
        <v>235</v>
      </c>
      <c r="C27" s="12" t="s">
        <v>236</v>
      </c>
    </row>
    <row r="28" spans="1:3" x14ac:dyDescent="0.25">
      <c r="A28" s="12">
        <v>27</v>
      </c>
      <c r="B28" s="12" t="s">
        <v>237</v>
      </c>
      <c r="C28" s="12" t="s">
        <v>238</v>
      </c>
    </row>
    <row r="29" spans="1:3" x14ac:dyDescent="0.25">
      <c r="A29" s="12">
        <v>28</v>
      </c>
      <c r="B29" s="12" t="s">
        <v>239</v>
      </c>
      <c r="C29" s="12" t="s">
        <v>240</v>
      </c>
    </row>
    <row r="30" spans="1:3" x14ac:dyDescent="0.25">
      <c r="A30" s="12">
        <v>29</v>
      </c>
      <c r="B30" s="12" t="s">
        <v>241</v>
      </c>
      <c r="C30" s="12" t="s">
        <v>242</v>
      </c>
    </row>
    <row r="31" spans="1:3" x14ac:dyDescent="0.25">
      <c r="A31" s="12">
        <v>30</v>
      </c>
      <c r="B31" s="12" t="s">
        <v>243</v>
      </c>
      <c r="C31" s="12" t="s">
        <v>244</v>
      </c>
    </row>
    <row r="32" spans="1:3" x14ac:dyDescent="0.25">
      <c r="A32" s="12">
        <v>31</v>
      </c>
      <c r="B32" s="12" t="s">
        <v>245</v>
      </c>
      <c r="C32" s="12" t="s">
        <v>246</v>
      </c>
    </row>
    <row r="33" spans="1:3" x14ac:dyDescent="0.25">
      <c r="A33" s="12">
        <v>32</v>
      </c>
      <c r="B33" s="12" t="s">
        <v>247</v>
      </c>
      <c r="C33" s="12" t="s">
        <v>248</v>
      </c>
    </row>
    <row r="34" spans="1:3" x14ac:dyDescent="0.25">
      <c r="A34" s="12">
        <v>33</v>
      </c>
      <c r="B34" s="12" t="s">
        <v>249</v>
      </c>
      <c r="C34" s="12" t="s">
        <v>250</v>
      </c>
    </row>
    <row r="35" spans="1:3" x14ac:dyDescent="0.25">
      <c r="A35" s="12">
        <v>34</v>
      </c>
      <c r="B35" s="12" t="s">
        <v>251</v>
      </c>
      <c r="C35" s="12" t="s">
        <v>252</v>
      </c>
    </row>
    <row r="36" spans="1:3" x14ac:dyDescent="0.25">
      <c r="A36" s="12">
        <v>35</v>
      </c>
      <c r="B36" s="12" t="s">
        <v>253</v>
      </c>
      <c r="C36" s="12" t="s">
        <v>254</v>
      </c>
    </row>
    <row r="37" spans="1:3" x14ac:dyDescent="0.25">
      <c r="A37" s="12">
        <v>36</v>
      </c>
      <c r="B37" s="12" t="s">
        <v>255</v>
      </c>
      <c r="C37" s="12" t="s">
        <v>256</v>
      </c>
    </row>
    <row r="38" spans="1:3" x14ac:dyDescent="0.25">
      <c r="A38" s="12">
        <v>37</v>
      </c>
      <c r="B38" s="12" t="s">
        <v>257</v>
      </c>
      <c r="C38" s="12" t="s">
        <v>258</v>
      </c>
    </row>
    <row r="39" spans="1:3" x14ac:dyDescent="0.25">
      <c r="A39" s="12">
        <v>38</v>
      </c>
      <c r="B39" s="12" t="s">
        <v>259</v>
      </c>
      <c r="C39" s="12" t="s">
        <v>260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D0C3-26A2-435A-8970-1D324BF1A9B3}">
  <dimension ref="A2:J108"/>
  <sheetViews>
    <sheetView topLeftCell="B30" zoomScale="85" zoomScaleNormal="85" workbookViewId="0">
      <selection activeCell="J111" sqref="J111"/>
    </sheetView>
  </sheetViews>
  <sheetFormatPr defaultColWidth="9.140625" defaultRowHeight="15" x14ac:dyDescent="0.25"/>
  <cols>
    <col min="1" max="1" width="12.28515625" style="19" customWidth="1"/>
    <col min="2" max="2" width="101.5703125" style="19" bestFit="1" customWidth="1"/>
    <col min="3" max="4" width="9.140625" style="19"/>
    <col min="5" max="5" width="12.85546875" style="19" customWidth="1"/>
    <col min="6" max="6" width="44.5703125" style="19" customWidth="1"/>
    <col min="7" max="9" width="9.140625" style="19"/>
    <col min="10" max="10" width="48.28515625" style="19" bestFit="1" customWidth="1"/>
    <col min="11" max="16384" width="9.140625" style="19"/>
  </cols>
  <sheetData>
    <row r="2" spans="1:10" ht="16.5" x14ac:dyDescent="0.3">
      <c r="A2" s="147" t="s">
        <v>261</v>
      </c>
      <c r="B2" s="147"/>
      <c r="E2" s="147" t="s">
        <v>262</v>
      </c>
      <c r="F2" s="147"/>
      <c r="I2" s="147" t="s">
        <v>263</v>
      </c>
      <c r="J2" s="147"/>
    </row>
    <row r="3" spans="1:10" x14ac:dyDescent="0.25">
      <c r="A3" s="149">
        <v>1.01</v>
      </c>
      <c r="B3" s="19" t="s">
        <v>221</v>
      </c>
      <c r="E3" s="149">
        <v>3.01</v>
      </c>
      <c r="F3" s="19" t="s">
        <v>264</v>
      </c>
      <c r="I3" s="148" t="s">
        <v>265</v>
      </c>
      <c r="J3" s="24" t="s">
        <v>266</v>
      </c>
    </row>
    <row r="4" spans="1:10" x14ac:dyDescent="0.25">
      <c r="A4" s="149"/>
      <c r="B4" s="19" t="s">
        <v>191</v>
      </c>
      <c r="E4" s="149"/>
      <c r="F4" s="19" t="s">
        <v>471</v>
      </c>
      <c r="I4" s="148"/>
      <c r="J4" s="24" t="s">
        <v>267</v>
      </c>
    </row>
    <row r="5" spans="1:10" x14ac:dyDescent="0.25">
      <c r="A5" s="20"/>
      <c r="I5" s="148"/>
      <c r="J5" s="24" t="s">
        <v>268</v>
      </c>
    </row>
    <row r="6" spans="1:10" x14ac:dyDescent="0.25">
      <c r="A6" s="144" t="s">
        <v>269</v>
      </c>
      <c r="B6" s="19" t="s">
        <v>270</v>
      </c>
      <c r="E6" s="144">
        <v>3.02</v>
      </c>
      <c r="F6" s="19" t="s">
        <v>271</v>
      </c>
      <c r="I6" s="148"/>
      <c r="J6" s="24" t="s">
        <v>272</v>
      </c>
    </row>
    <row r="7" spans="1:10" x14ac:dyDescent="0.25">
      <c r="A7" s="144"/>
      <c r="B7" s="19" t="s">
        <v>273</v>
      </c>
      <c r="E7" s="144"/>
      <c r="F7" s="19" t="s">
        <v>274</v>
      </c>
    </row>
    <row r="8" spans="1:10" x14ac:dyDescent="0.25">
      <c r="A8" s="144"/>
      <c r="B8" s="19" t="s">
        <v>275</v>
      </c>
      <c r="E8" s="144"/>
      <c r="F8" s="19" t="s">
        <v>276</v>
      </c>
    </row>
    <row r="9" spans="1:10" x14ac:dyDescent="0.25">
      <c r="A9" s="144"/>
      <c r="B9" s="19" t="s">
        <v>277</v>
      </c>
      <c r="E9" s="144"/>
      <c r="F9" s="19" t="s">
        <v>278</v>
      </c>
      <c r="I9" s="144">
        <v>5.03</v>
      </c>
      <c r="J9" s="19" t="s">
        <v>279</v>
      </c>
    </row>
    <row r="10" spans="1:10" x14ac:dyDescent="0.25">
      <c r="A10" s="144"/>
      <c r="B10" s="19" t="s">
        <v>280</v>
      </c>
      <c r="I10" s="144"/>
      <c r="J10" s="19" t="s">
        <v>281</v>
      </c>
    </row>
    <row r="11" spans="1:10" x14ac:dyDescent="0.25">
      <c r="A11" s="144"/>
      <c r="B11" s="19" t="s">
        <v>282</v>
      </c>
      <c r="E11" s="148" t="s">
        <v>283</v>
      </c>
      <c r="F11" s="19" t="s">
        <v>284</v>
      </c>
      <c r="I11" s="144"/>
      <c r="J11" s="19" t="s">
        <v>285</v>
      </c>
    </row>
    <row r="12" spans="1:10" x14ac:dyDescent="0.25">
      <c r="A12" s="144"/>
      <c r="B12" s="19" t="s">
        <v>286</v>
      </c>
      <c r="E12" s="144"/>
      <c r="F12" s="19" t="s">
        <v>287</v>
      </c>
      <c r="I12" s="144"/>
      <c r="J12" s="19" t="s">
        <v>36</v>
      </c>
    </row>
    <row r="13" spans="1:10" x14ac:dyDescent="0.25">
      <c r="A13" s="144"/>
      <c r="B13" s="19" t="s">
        <v>288</v>
      </c>
      <c r="E13" s="144"/>
      <c r="F13" s="19" t="s">
        <v>471</v>
      </c>
    </row>
    <row r="14" spans="1:10" x14ac:dyDescent="0.25">
      <c r="I14" s="144">
        <v>5.04</v>
      </c>
      <c r="J14" s="19" t="s">
        <v>289</v>
      </c>
    </row>
    <row r="15" spans="1:10" x14ac:dyDescent="0.25">
      <c r="A15" s="144" t="s">
        <v>269</v>
      </c>
      <c r="B15" s="19" t="s">
        <v>290</v>
      </c>
      <c r="E15" s="144">
        <v>3.07</v>
      </c>
      <c r="F15" s="19" t="s">
        <v>243</v>
      </c>
      <c r="I15" s="144"/>
      <c r="J15" s="19" t="s">
        <v>36</v>
      </c>
    </row>
    <row r="16" spans="1:10" x14ac:dyDescent="0.25">
      <c r="A16" s="144"/>
      <c r="B16" s="19" t="s">
        <v>291</v>
      </c>
      <c r="E16" s="144"/>
      <c r="F16" s="19" t="s">
        <v>292</v>
      </c>
    </row>
    <row r="17" spans="1:10" x14ac:dyDescent="0.25">
      <c r="A17" s="144"/>
      <c r="B17" s="19" t="s">
        <v>293</v>
      </c>
      <c r="E17" s="144"/>
      <c r="F17" s="19" t="s">
        <v>294</v>
      </c>
      <c r="I17" s="144">
        <v>5.05</v>
      </c>
      <c r="J17" s="19" t="s">
        <v>295</v>
      </c>
    </row>
    <row r="18" spans="1:10" x14ac:dyDescent="0.25">
      <c r="E18" s="144"/>
      <c r="F18" s="19" t="s">
        <v>36</v>
      </c>
      <c r="I18" s="144"/>
      <c r="J18" s="19" t="s">
        <v>296</v>
      </c>
    </row>
    <row r="19" spans="1:10" x14ac:dyDescent="0.25">
      <c r="I19" s="144"/>
      <c r="J19" s="19" t="s">
        <v>297</v>
      </c>
    </row>
    <row r="20" spans="1:10" ht="16.5" x14ac:dyDescent="0.3">
      <c r="A20" s="147" t="s">
        <v>298</v>
      </c>
      <c r="B20" s="147"/>
      <c r="E20" s="147" t="s">
        <v>299</v>
      </c>
      <c r="F20" s="147"/>
      <c r="I20" s="144"/>
      <c r="J20" s="19" t="s">
        <v>36</v>
      </c>
    </row>
    <row r="21" spans="1:10" x14ac:dyDescent="0.25">
      <c r="A21" s="149" t="s">
        <v>300</v>
      </c>
      <c r="B21" s="19" t="s">
        <v>89</v>
      </c>
      <c r="E21" s="144">
        <v>4.01</v>
      </c>
      <c r="F21" s="19" t="s">
        <v>301</v>
      </c>
      <c r="I21" s="22"/>
    </row>
    <row r="22" spans="1:10" x14ac:dyDescent="0.25">
      <c r="A22" s="149"/>
      <c r="B22" s="19" t="s">
        <v>26</v>
      </c>
      <c r="E22" s="144"/>
      <c r="F22" s="19" t="s">
        <v>302</v>
      </c>
      <c r="I22" s="144">
        <v>5.0599999999999996</v>
      </c>
      <c r="J22" s="19" t="s">
        <v>42</v>
      </c>
    </row>
    <row r="23" spans="1:10" x14ac:dyDescent="0.25">
      <c r="E23" s="144"/>
      <c r="F23" s="19" t="s">
        <v>303</v>
      </c>
      <c r="I23" s="144"/>
      <c r="J23" s="19" t="s">
        <v>304</v>
      </c>
    </row>
    <row r="24" spans="1:10" x14ac:dyDescent="0.25">
      <c r="A24" s="144">
        <v>2.02</v>
      </c>
      <c r="B24" s="19" t="s">
        <v>16</v>
      </c>
      <c r="E24" s="144"/>
      <c r="F24" s="19" t="s">
        <v>305</v>
      </c>
      <c r="I24" s="144"/>
      <c r="J24" s="19" t="s">
        <v>187</v>
      </c>
    </row>
    <row r="25" spans="1:10" x14ac:dyDescent="0.25">
      <c r="A25" s="144"/>
      <c r="B25" s="19" t="s">
        <v>306</v>
      </c>
      <c r="E25" s="144"/>
      <c r="F25" s="19" t="s">
        <v>307</v>
      </c>
      <c r="I25" s="144"/>
      <c r="J25" s="19" t="s">
        <v>36</v>
      </c>
    </row>
    <row r="26" spans="1:10" x14ac:dyDescent="0.25">
      <c r="A26" s="144"/>
      <c r="B26" s="19" t="s">
        <v>308</v>
      </c>
    </row>
    <row r="27" spans="1:10" x14ac:dyDescent="0.25">
      <c r="A27" s="144"/>
      <c r="B27" s="19" t="s">
        <v>309</v>
      </c>
      <c r="E27" s="149">
        <v>4.0199999999999996</v>
      </c>
      <c r="F27" s="19" t="s">
        <v>310</v>
      </c>
      <c r="I27" s="145">
        <v>5.08</v>
      </c>
      <c r="J27" s="19" t="s">
        <v>284</v>
      </c>
    </row>
    <row r="28" spans="1:10" x14ac:dyDescent="0.25">
      <c r="A28" s="144"/>
      <c r="B28" s="19" t="s">
        <v>311</v>
      </c>
      <c r="E28" s="149"/>
      <c r="F28" s="19" t="s">
        <v>20</v>
      </c>
      <c r="I28" s="146"/>
      <c r="J28" s="19" t="s">
        <v>287</v>
      </c>
    </row>
    <row r="29" spans="1:10" x14ac:dyDescent="0.25">
      <c r="A29" s="144"/>
      <c r="B29" s="19" t="s">
        <v>312</v>
      </c>
      <c r="I29" s="146"/>
      <c r="J29" s="19" t="s">
        <v>471</v>
      </c>
    </row>
    <row r="30" spans="1:10" x14ac:dyDescent="0.25">
      <c r="A30" s="144"/>
      <c r="B30" s="19" t="s">
        <v>313</v>
      </c>
      <c r="E30" s="149">
        <v>4.03</v>
      </c>
      <c r="F30" s="19" t="s">
        <v>22</v>
      </c>
    </row>
    <row r="31" spans="1:10" x14ac:dyDescent="0.25">
      <c r="A31" s="144"/>
      <c r="B31" s="19" t="s">
        <v>314</v>
      </c>
      <c r="E31" s="149"/>
      <c r="F31" s="19" t="s">
        <v>472</v>
      </c>
      <c r="J31" s="24" t="s">
        <v>315</v>
      </c>
    </row>
    <row r="32" spans="1:10" x14ac:dyDescent="0.25">
      <c r="J32" s="24" t="s">
        <v>316</v>
      </c>
    </row>
    <row r="33" spans="1:10" x14ac:dyDescent="0.25">
      <c r="A33" s="150" t="s">
        <v>317</v>
      </c>
      <c r="B33" s="19" t="s">
        <v>318</v>
      </c>
      <c r="E33" s="149">
        <v>4.04</v>
      </c>
      <c r="F33" s="19" t="s">
        <v>89</v>
      </c>
      <c r="J33" s="24" t="s">
        <v>107</v>
      </c>
    </row>
    <row r="34" spans="1:10" x14ac:dyDescent="0.25">
      <c r="A34" s="150"/>
      <c r="B34" s="19" t="s">
        <v>26</v>
      </c>
      <c r="E34" s="149"/>
      <c r="F34" s="19" t="s">
        <v>26</v>
      </c>
      <c r="J34" s="24"/>
    </row>
    <row r="35" spans="1:10" x14ac:dyDescent="0.25">
      <c r="A35" s="150"/>
      <c r="B35" s="19" t="s">
        <v>471</v>
      </c>
      <c r="J35" s="19" t="s">
        <v>319</v>
      </c>
    </row>
    <row r="36" spans="1:10" x14ac:dyDescent="0.25">
      <c r="E36" s="148">
        <v>4.05</v>
      </c>
      <c r="F36" s="19" t="s">
        <v>320</v>
      </c>
      <c r="J36" s="19" t="s">
        <v>321</v>
      </c>
    </row>
    <row r="37" spans="1:10" x14ac:dyDescent="0.25">
      <c r="A37" s="144">
        <v>2.06</v>
      </c>
      <c r="B37" s="21">
        <v>0</v>
      </c>
      <c r="E37" s="144"/>
      <c r="F37" s="19" t="s">
        <v>322</v>
      </c>
    </row>
    <row r="38" spans="1:10" x14ac:dyDescent="0.25">
      <c r="A38" s="144"/>
      <c r="B38" s="21">
        <v>0.05</v>
      </c>
      <c r="E38" s="144"/>
      <c r="F38" s="19" t="s">
        <v>471</v>
      </c>
      <c r="J38" s="19" t="s">
        <v>445</v>
      </c>
    </row>
    <row r="39" spans="1:10" x14ac:dyDescent="0.25">
      <c r="A39" s="144"/>
      <c r="B39" s="21">
        <v>0.1</v>
      </c>
      <c r="J39" s="19" t="s">
        <v>83</v>
      </c>
    </row>
    <row r="40" spans="1:10" x14ac:dyDescent="0.25">
      <c r="A40" s="144"/>
      <c r="B40" s="21">
        <v>0.15</v>
      </c>
      <c r="E40" s="144">
        <v>4.0599999999999996</v>
      </c>
      <c r="F40" s="19" t="s">
        <v>207</v>
      </c>
    </row>
    <row r="41" spans="1:10" x14ac:dyDescent="0.25">
      <c r="A41" s="144"/>
      <c r="B41" s="21">
        <v>0.2</v>
      </c>
      <c r="E41" s="144"/>
      <c r="F41" s="19" t="s">
        <v>209</v>
      </c>
      <c r="J41" s="19" t="s">
        <v>323</v>
      </c>
    </row>
    <row r="42" spans="1:10" x14ac:dyDescent="0.25">
      <c r="A42" s="144"/>
      <c r="B42" s="19" t="s">
        <v>471</v>
      </c>
      <c r="E42" s="144"/>
      <c r="F42" s="19" t="s">
        <v>211</v>
      </c>
      <c r="J42" s="19" t="s">
        <v>324</v>
      </c>
    </row>
    <row r="43" spans="1:10" x14ac:dyDescent="0.25">
      <c r="E43" s="144"/>
      <c r="F43" s="19" t="s">
        <v>325</v>
      </c>
      <c r="J43" s="19" t="s">
        <v>310</v>
      </c>
    </row>
    <row r="44" spans="1:10" x14ac:dyDescent="0.25">
      <c r="A44" s="151">
        <v>2.0699999999999998</v>
      </c>
      <c r="B44" s="21" t="s">
        <v>30</v>
      </c>
      <c r="E44" s="144"/>
      <c r="F44" s="19" t="s">
        <v>326</v>
      </c>
    </row>
    <row r="45" spans="1:10" x14ac:dyDescent="0.25">
      <c r="A45" s="151"/>
      <c r="B45" s="21" t="s">
        <v>327</v>
      </c>
      <c r="J45" s="19" t="s">
        <v>72</v>
      </c>
    </row>
    <row r="46" spans="1:10" x14ac:dyDescent="0.25">
      <c r="A46" s="151"/>
      <c r="B46" s="21" t="s">
        <v>328</v>
      </c>
      <c r="E46" s="144">
        <v>4.07</v>
      </c>
      <c r="F46" s="19" t="s">
        <v>329</v>
      </c>
      <c r="J46" s="19" t="s">
        <v>69</v>
      </c>
    </row>
    <row r="47" spans="1:10" x14ac:dyDescent="0.25">
      <c r="A47" s="151"/>
      <c r="B47" s="21" t="s">
        <v>330</v>
      </c>
      <c r="E47" s="144"/>
      <c r="F47" s="19" t="s">
        <v>331</v>
      </c>
    </row>
    <row r="48" spans="1:10" x14ac:dyDescent="0.25">
      <c r="A48" s="151"/>
      <c r="B48" s="21" t="s">
        <v>332</v>
      </c>
      <c r="E48" s="144"/>
      <c r="F48" s="19" t="s">
        <v>333</v>
      </c>
      <c r="J48" s="19" t="s">
        <v>476</v>
      </c>
    </row>
    <row r="49" spans="1:10" x14ac:dyDescent="0.25">
      <c r="A49" s="151"/>
      <c r="B49" s="21" t="s">
        <v>334</v>
      </c>
      <c r="E49" s="144"/>
      <c r="F49" s="19" t="s">
        <v>335</v>
      </c>
      <c r="J49" s="75" t="s">
        <v>477</v>
      </c>
    </row>
    <row r="50" spans="1:10" x14ac:dyDescent="0.25">
      <c r="A50" s="151"/>
      <c r="B50" s="21" t="s">
        <v>336</v>
      </c>
      <c r="E50" s="144"/>
      <c r="F50" s="19" t="s">
        <v>337</v>
      </c>
    </row>
    <row r="51" spans="1:10" x14ac:dyDescent="0.25">
      <c r="A51" s="151"/>
      <c r="B51" s="21" t="s">
        <v>338</v>
      </c>
      <c r="E51" s="144"/>
      <c r="F51" s="19" t="s">
        <v>339</v>
      </c>
      <c r="J51" s="19" t="s">
        <v>83</v>
      </c>
    </row>
    <row r="52" spans="1:10" x14ac:dyDescent="0.25">
      <c r="A52" s="151"/>
      <c r="B52" s="21" t="s">
        <v>340</v>
      </c>
      <c r="J52" s="19" t="s">
        <v>341</v>
      </c>
    </row>
    <row r="53" spans="1:10" x14ac:dyDescent="0.25">
      <c r="A53" s="151"/>
      <c r="B53" s="21" t="s">
        <v>342</v>
      </c>
      <c r="E53" s="144">
        <v>4.08</v>
      </c>
      <c r="F53" s="19" t="s">
        <v>343</v>
      </c>
    </row>
    <row r="54" spans="1:10" x14ac:dyDescent="0.25">
      <c r="A54" s="151"/>
      <c r="B54" s="21" t="s">
        <v>344</v>
      </c>
      <c r="E54" s="144"/>
      <c r="F54" s="19" t="s">
        <v>345</v>
      </c>
    </row>
    <row r="55" spans="1:10" x14ac:dyDescent="0.25">
      <c r="E55" s="144"/>
      <c r="F55" s="19" t="s">
        <v>346</v>
      </c>
    </row>
    <row r="56" spans="1:10" x14ac:dyDescent="0.25">
      <c r="A56" s="148" t="s">
        <v>347</v>
      </c>
      <c r="B56" s="19" t="s">
        <v>32</v>
      </c>
      <c r="E56" s="144"/>
      <c r="F56" s="19" t="s">
        <v>348</v>
      </c>
      <c r="J56" s="19" t="s">
        <v>474</v>
      </c>
    </row>
    <row r="57" spans="1:10" x14ac:dyDescent="0.25">
      <c r="A57" s="148"/>
      <c r="B57" s="19" t="s">
        <v>349</v>
      </c>
      <c r="E57" s="144"/>
      <c r="F57" s="19" t="s">
        <v>350</v>
      </c>
      <c r="J57" s="19" t="s">
        <v>475</v>
      </c>
    </row>
    <row r="58" spans="1:10" x14ac:dyDescent="0.25">
      <c r="A58" s="148"/>
      <c r="B58" s="19" t="s">
        <v>351</v>
      </c>
      <c r="E58" s="144"/>
      <c r="F58" s="19" t="s">
        <v>352</v>
      </c>
    </row>
    <row r="59" spans="1:10" x14ac:dyDescent="0.25">
      <c r="A59" s="148"/>
      <c r="B59" s="19" t="s">
        <v>36</v>
      </c>
      <c r="E59" s="144"/>
      <c r="F59" s="19" t="s">
        <v>353</v>
      </c>
      <c r="J59" s="75" t="s">
        <v>478</v>
      </c>
    </row>
    <row r="60" spans="1:10" x14ac:dyDescent="0.25">
      <c r="E60" s="144"/>
      <c r="F60" s="19" t="s">
        <v>473</v>
      </c>
      <c r="J60" s="19" t="s">
        <v>479</v>
      </c>
    </row>
    <row r="61" spans="1:10" x14ac:dyDescent="0.25">
      <c r="A61" s="145">
        <v>2.1</v>
      </c>
      <c r="B61" s="19" t="s">
        <v>354</v>
      </c>
    </row>
    <row r="62" spans="1:10" x14ac:dyDescent="0.25">
      <c r="A62" s="145"/>
      <c r="B62" s="19" t="s">
        <v>355</v>
      </c>
      <c r="E62" s="144">
        <v>4.09</v>
      </c>
      <c r="F62" s="19" t="s">
        <v>356</v>
      </c>
      <c r="J62" s="19" t="s">
        <v>470</v>
      </c>
    </row>
    <row r="63" spans="1:10" x14ac:dyDescent="0.25">
      <c r="A63" s="145"/>
      <c r="B63" s="19" t="s">
        <v>36</v>
      </c>
      <c r="E63" s="144"/>
      <c r="F63" s="19" t="s">
        <v>357</v>
      </c>
      <c r="J63" s="19" t="s">
        <v>446</v>
      </c>
    </row>
    <row r="64" spans="1:10" x14ac:dyDescent="0.25">
      <c r="E64" s="144"/>
      <c r="F64" s="19" t="s">
        <v>358</v>
      </c>
      <c r="J64" s="19" t="s">
        <v>480</v>
      </c>
    </row>
    <row r="65" spans="1:10" x14ac:dyDescent="0.25">
      <c r="A65" s="145">
        <v>2.13</v>
      </c>
      <c r="B65" s="19" t="s">
        <v>18</v>
      </c>
      <c r="E65" s="144"/>
      <c r="F65" s="19" t="s">
        <v>26</v>
      </c>
      <c r="J65" s="19" t="s">
        <v>481</v>
      </c>
    </row>
    <row r="66" spans="1:10" x14ac:dyDescent="0.25">
      <c r="A66" s="145"/>
      <c r="B66" s="19" t="s">
        <v>359</v>
      </c>
      <c r="E66" s="22"/>
      <c r="J66" s="19" t="s">
        <v>482</v>
      </c>
    </row>
    <row r="67" spans="1:10" x14ac:dyDescent="0.25">
      <c r="A67" s="145"/>
      <c r="B67" s="19" t="s">
        <v>360</v>
      </c>
      <c r="E67" s="145">
        <v>4.0999999999999996</v>
      </c>
      <c r="F67" s="19" t="s">
        <v>284</v>
      </c>
      <c r="J67" s="19" t="s">
        <v>483</v>
      </c>
    </row>
    <row r="68" spans="1:10" x14ac:dyDescent="0.25">
      <c r="A68" s="145"/>
      <c r="B68" s="19" t="s">
        <v>361</v>
      </c>
      <c r="E68" s="146"/>
      <c r="F68" s="19" t="s">
        <v>287</v>
      </c>
    </row>
    <row r="69" spans="1:10" x14ac:dyDescent="0.25">
      <c r="E69" s="146"/>
      <c r="F69" s="19" t="s">
        <v>471</v>
      </c>
    </row>
    <row r="70" spans="1:10" x14ac:dyDescent="0.25">
      <c r="A70" s="145">
        <v>2.14</v>
      </c>
      <c r="B70" s="19" t="s">
        <v>362</v>
      </c>
      <c r="J70" s="19">
        <v>0</v>
      </c>
    </row>
    <row r="71" spans="1:10" x14ac:dyDescent="0.25">
      <c r="A71" s="145"/>
      <c r="B71" s="19" t="s">
        <v>227</v>
      </c>
      <c r="E71" s="145">
        <v>4.1100000000000003</v>
      </c>
      <c r="F71" s="19" t="s">
        <v>354</v>
      </c>
      <c r="J71" s="19" t="s">
        <v>446</v>
      </c>
    </row>
    <row r="72" spans="1:10" x14ac:dyDescent="0.25">
      <c r="A72" s="145"/>
      <c r="B72" s="19" t="s">
        <v>39</v>
      </c>
      <c r="E72" s="145"/>
      <c r="F72" s="19" t="s">
        <v>355</v>
      </c>
    </row>
    <row r="73" spans="1:10" x14ac:dyDescent="0.25">
      <c r="A73" s="145"/>
      <c r="B73" s="19" t="s">
        <v>36</v>
      </c>
      <c r="E73" s="145"/>
      <c r="F73" s="19" t="s">
        <v>36</v>
      </c>
      <c r="J73" s="19" t="s">
        <v>448</v>
      </c>
    </row>
    <row r="74" spans="1:10" x14ac:dyDescent="0.25">
      <c r="E74" s="145"/>
      <c r="F74" s="19" t="s">
        <v>471</v>
      </c>
      <c r="J74" s="19" t="s">
        <v>446</v>
      </c>
    </row>
    <row r="76" spans="1:10" x14ac:dyDescent="0.25">
      <c r="E76" s="144">
        <v>4.13</v>
      </c>
      <c r="F76" s="19" t="s">
        <v>243</v>
      </c>
      <c r="J76" s="19" t="s">
        <v>454</v>
      </c>
    </row>
    <row r="77" spans="1:10" x14ac:dyDescent="0.25">
      <c r="E77" s="144"/>
      <c r="F77" s="19" t="s">
        <v>292</v>
      </c>
      <c r="J77" s="19" t="s">
        <v>455</v>
      </c>
    </row>
    <row r="78" spans="1:10" x14ac:dyDescent="0.25">
      <c r="E78" s="144"/>
      <c r="F78" s="19" t="s">
        <v>294</v>
      </c>
    </row>
    <row r="79" spans="1:10" x14ac:dyDescent="0.25">
      <c r="E79" s="144"/>
      <c r="F79" s="19" t="s">
        <v>36</v>
      </c>
    </row>
    <row r="80" spans="1:10" x14ac:dyDescent="0.25">
      <c r="J80" s="19" t="s">
        <v>458</v>
      </c>
    </row>
    <row r="81" spans="5:10" x14ac:dyDescent="0.25">
      <c r="E81" s="145">
        <v>4.1399999999999997</v>
      </c>
      <c r="F81" s="19" t="s">
        <v>363</v>
      </c>
      <c r="J81" s="19" t="s">
        <v>459</v>
      </c>
    </row>
    <row r="82" spans="5:10" x14ac:dyDescent="0.25">
      <c r="E82" s="145"/>
      <c r="F82" s="19" t="s">
        <v>53</v>
      </c>
      <c r="J82" s="19" t="s">
        <v>460</v>
      </c>
    </row>
    <row r="83" spans="5:10" x14ac:dyDescent="0.25">
      <c r="E83" s="145"/>
      <c r="F83" s="19" t="s">
        <v>36</v>
      </c>
      <c r="J83" s="19" t="s">
        <v>461</v>
      </c>
    </row>
    <row r="84" spans="5:10" x14ac:dyDescent="0.25">
      <c r="E84" s="23"/>
      <c r="J84" s="19" t="s">
        <v>462</v>
      </c>
    </row>
    <row r="85" spans="5:10" x14ac:dyDescent="0.25">
      <c r="J85" s="19" t="s">
        <v>463</v>
      </c>
    </row>
    <row r="86" spans="5:10" x14ac:dyDescent="0.25">
      <c r="E86" s="145">
        <v>4.1500000000000004</v>
      </c>
      <c r="F86" s="19" t="s">
        <v>364</v>
      </c>
      <c r="J86" s="19" t="s">
        <v>464</v>
      </c>
    </row>
    <row r="87" spans="5:10" x14ac:dyDescent="0.25">
      <c r="E87" s="145"/>
      <c r="F87" s="19" t="s">
        <v>365</v>
      </c>
      <c r="J87" s="19" t="s">
        <v>465</v>
      </c>
    </row>
    <row r="88" spans="5:10" x14ac:dyDescent="0.25">
      <c r="E88" s="145"/>
      <c r="F88" s="19" t="s">
        <v>471</v>
      </c>
      <c r="J88" s="19" t="s">
        <v>466</v>
      </c>
    </row>
    <row r="89" spans="5:10" x14ac:dyDescent="0.25">
      <c r="E89" s="145"/>
      <c r="F89" s="19" t="s">
        <v>36</v>
      </c>
    </row>
    <row r="90" spans="5:10" x14ac:dyDescent="0.25">
      <c r="E90" s="145"/>
      <c r="J90" s="19" t="s">
        <v>207</v>
      </c>
    </row>
    <row r="91" spans="5:10" x14ac:dyDescent="0.25">
      <c r="J91" s="19" t="s">
        <v>209</v>
      </c>
    </row>
    <row r="92" spans="5:10" x14ac:dyDescent="0.25">
      <c r="J92" s="19" t="s">
        <v>211</v>
      </c>
    </row>
    <row r="93" spans="5:10" x14ac:dyDescent="0.25">
      <c r="J93" s="19" t="s">
        <v>325</v>
      </c>
    </row>
    <row r="94" spans="5:10" x14ac:dyDescent="0.25">
      <c r="J94" s="19" t="s">
        <v>467</v>
      </c>
    </row>
    <row r="96" spans="5:10" x14ac:dyDescent="0.25">
      <c r="J96" s="19" t="s">
        <v>530</v>
      </c>
    </row>
    <row r="97" spans="10:10" x14ac:dyDescent="0.25">
      <c r="J97" s="19" t="s">
        <v>531</v>
      </c>
    </row>
    <row r="99" spans="10:10" x14ac:dyDescent="0.25">
      <c r="J99" s="100" t="s">
        <v>418</v>
      </c>
    </row>
    <row r="100" spans="10:10" x14ac:dyDescent="0.25">
      <c r="J100" s="100" t="s">
        <v>422</v>
      </c>
    </row>
    <row r="101" spans="10:10" x14ac:dyDescent="0.25">
      <c r="J101" s="100" t="s">
        <v>425</v>
      </c>
    </row>
    <row r="104" spans="10:10" x14ac:dyDescent="0.25">
      <c r="J104" s="19" t="s">
        <v>108</v>
      </c>
    </row>
    <row r="105" spans="10:10" x14ac:dyDescent="0.25">
      <c r="J105" s="19" t="s">
        <v>428</v>
      </c>
    </row>
    <row r="107" spans="10:10" x14ac:dyDescent="0.25">
      <c r="J107" s="99" t="s">
        <v>419</v>
      </c>
    </row>
    <row r="108" spans="10:10" x14ac:dyDescent="0.25">
      <c r="J108" s="99" t="s">
        <v>436</v>
      </c>
    </row>
  </sheetData>
  <mergeCells count="41">
    <mergeCell ref="A33:A35"/>
    <mergeCell ref="A61:A63"/>
    <mergeCell ref="A65:A68"/>
    <mergeCell ref="A37:A42"/>
    <mergeCell ref="A44:A54"/>
    <mergeCell ref="A56:A59"/>
    <mergeCell ref="A70:A73"/>
    <mergeCell ref="E2:F2"/>
    <mergeCell ref="E6:E9"/>
    <mergeCell ref="E3:E4"/>
    <mergeCell ref="E11:E13"/>
    <mergeCell ref="A24:A31"/>
    <mergeCell ref="A3:A4"/>
    <mergeCell ref="A15:A17"/>
    <mergeCell ref="A6:A13"/>
    <mergeCell ref="A2:B2"/>
    <mergeCell ref="A20:B20"/>
    <mergeCell ref="A21:A22"/>
    <mergeCell ref="E33:E34"/>
    <mergeCell ref="E36:E38"/>
    <mergeCell ref="E40:E44"/>
    <mergeCell ref="E46:E51"/>
    <mergeCell ref="E15:E18"/>
    <mergeCell ref="E20:F20"/>
    <mergeCell ref="E21:E25"/>
    <mergeCell ref="E27:E28"/>
    <mergeCell ref="E30:E31"/>
    <mergeCell ref="E76:E79"/>
    <mergeCell ref="E81:E83"/>
    <mergeCell ref="E86:E90"/>
    <mergeCell ref="E53:E60"/>
    <mergeCell ref="E62:E65"/>
    <mergeCell ref="E67:E69"/>
    <mergeCell ref="E71:E74"/>
    <mergeCell ref="I22:I25"/>
    <mergeCell ref="I27:I29"/>
    <mergeCell ref="I2:J2"/>
    <mergeCell ref="I3:I6"/>
    <mergeCell ref="I9:I12"/>
    <mergeCell ref="I14:I15"/>
    <mergeCell ref="I17:I20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F9AB-2395-452A-B171-CD4DC96BBD7F}">
  <dimension ref="A1:D18"/>
  <sheetViews>
    <sheetView tabSelected="1" workbookViewId="0">
      <selection activeCell="C24" sqref="C24"/>
    </sheetView>
  </sheetViews>
  <sheetFormatPr defaultRowHeight="12.75" x14ac:dyDescent="0.2"/>
  <cols>
    <col min="1" max="1" width="8.7109375" bestFit="1" customWidth="1"/>
    <col min="2" max="2" width="24" bestFit="1" customWidth="1"/>
    <col min="3" max="3" width="52.7109375" bestFit="1" customWidth="1"/>
    <col min="4" max="4" width="10.85546875" bestFit="1" customWidth="1"/>
  </cols>
  <sheetData>
    <row r="1" spans="1:4" ht="16.5" x14ac:dyDescent="0.2">
      <c r="A1" s="13" t="s">
        <v>366</v>
      </c>
      <c r="B1" s="14" t="s">
        <v>367</v>
      </c>
      <c r="C1" s="13" t="s">
        <v>368</v>
      </c>
      <c r="D1" s="14" t="s">
        <v>120</v>
      </c>
    </row>
    <row r="2" spans="1:4" ht="13.5" x14ac:dyDescent="0.25">
      <c r="A2" s="12" t="s">
        <v>369</v>
      </c>
      <c r="B2" s="12" t="s">
        <v>370</v>
      </c>
      <c r="C2" s="12" t="s">
        <v>371</v>
      </c>
      <c r="D2" s="15">
        <v>42717</v>
      </c>
    </row>
    <row r="3" spans="1:4" ht="13.5" x14ac:dyDescent="0.25">
      <c r="A3" s="12" t="s">
        <v>372</v>
      </c>
      <c r="B3" s="12" t="s">
        <v>373</v>
      </c>
      <c r="C3" s="12" t="s">
        <v>374</v>
      </c>
      <c r="D3" s="15">
        <v>42737</v>
      </c>
    </row>
    <row r="4" spans="1:4" ht="13.5" x14ac:dyDescent="0.25">
      <c r="A4" s="12" t="s">
        <v>375</v>
      </c>
      <c r="B4" s="12" t="s">
        <v>373</v>
      </c>
      <c r="C4" s="12" t="s">
        <v>376</v>
      </c>
      <c r="D4" s="15">
        <v>42804</v>
      </c>
    </row>
    <row r="5" spans="1:4" ht="13.5" x14ac:dyDescent="0.25">
      <c r="A5" s="12" t="s">
        <v>377</v>
      </c>
      <c r="B5" s="12" t="s">
        <v>373</v>
      </c>
      <c r="C5" s="12" t="s">
        <v>378</v>
      </c>
      <c r="D5" s="15"/>
    </row>
    <row r="6" spans="1:4" ht="13.5" x14ac:dyDescent="0.25">
      <c r="A6" s="12" t="s">
        <v>379</v>
      </c>
      <c r="B6" s="12" t="s">
        <v>380</v>
      </c>
      <c r="C6" s="12" t="s">
        <v>381</v>
      </c>
      <c r="D6" s="15">
        <v>42913</v>
      </c>
    </row>
    <row r="7" spans="1:4" ht="40.5" x14ac:dyDescent="0.25">
      <c r="A7" s="12" t="s">
        <v>382</v>
      </c>
      <c r="B7" s="12" t="s">
        <v>383</v>
      </c>
      <c r="C7" s="12" t="s">
        <v>384</v>
      </c>
      <c r="D7" s="15">
        <v>43143</v>
      </c>
    </row>
    <row r="8" spans="1:4" ht="27" x14ac:dyDescent="0.25">
      <c r="A8" s="12" t="s">
        <v>385</v>
      </c>
      <c r="B8" s="12" t="s">
        <v>383</v>
      </c>
      <c r="C8" s="12" t="s">
        <v>386</v>
      </c>
      <c r="D8" s="15">
        <v>43515</v>
      </c>
    </row>
    <row r="9" spans="1:4" ht="27" x14ac:dyDescent="0.25">
      <c r="A9" s="12" t="s">
        <v>387</v>
      </c>
      <c r="B9" s="12" t="s">
        <v>373</v>
      </c>
      <c r="C9" s="12" t="s">
        <v>388</v>
      </c>
      <c r="D9" s="15">
        <v>43699</v>
      </c>
    </row>
    <row r="10" spans="1:4" ht="54" x14ac:dyDescent="0.25">
      <c r="A10" s="12" t="s">
        <v>389</v>
      </c>
      <c r="B10" s="12" t="s">
        <v>373</v>
      </c>
      <c r="C10" s="12" t="s">
        <v>390</v>
      </c>
      <c r="D10" s="15">
        <v>43839</v>
      </c>
    </row>
    <row r="11" spans="1:4" ht="67.5" x14ac:dyDescent="0.25">
      <c r="A11" s="12" t="s">
        <v>391</v>
      </c>
      <c r="B11" s="12" t="s">
        <v>392</v>
      </c>
      <c r="C11" s="12" t="s">
        <v>393</v>
      </c>
      <c r="D11" s="15">
        <v>44585</v>
      </c>
    </row>
    <row r="12" spans="1:4" ht="13.5" x14ac:dyDescent="0.25">
      <c r="A12" s="12" t="s">
        <v>394</v>
      </c>
      <c r="B12" s="12" t="s">
        <v>395</v>
      </c>
      <c r="C12" s="12" t="s">
        <v>396</v>
      </c>
      <c r="D12" s="15">
        <v>45552</v>
      </c>
    </row>
    <row r="13" spans="1:4" ht="13.5" x14ac:dyDescent="0.25">
      <c r="A13" s="12" t="s">
        <v>397</v>
      </c>
      <c r="B13" s="12" t="s">
        <v>398</v>
      </c>
      <c r="C13" s="12" t="s">
        <v>399</v>
      </c>
      <c r="D13" s="15">
        <v>45616</v>
      </c>
    </row>
    <row r="14" spans="1:4" ht="13.5" x14ac:dyDescent="0.25">
      <c r="A14" s="12" t="s">
        <v>400</v>
      </c>
      <c r="B14" s="12" t="s">
        <v>398</v>
      </c>
      <c r="C14" s="12" t="s">
        <v>401</v>
      </c>
      <c r="D14" s="15">
        <v>45803</v>
      </c>
    </row>
    <row r="15" spans="1:4" ht="54" x14ac:dyDescent="0.25">
      <c r="A15" s="12" t="s">
        <v>451</v>
      </c>
      <c r="B15" s="12" t="s">
        <v>452</v>
      </c>
      <c r="C15" s="12" t="s">
        <v>453</v>
      </c>
      <c r="D15" s="15">
        <v>46154</v>
      </c>
    </row>
    <row r="16" spans="1:4" ht="40.5" x14ac:dyDescent="0.25">
      <c r="A16" s="12" t="s">
        <v>538</v>
      </c>
      <c r="B16" s="12" t="s">
        <v>452</v>
      </c>
      <c r="C16" s="12" t="s">
        <v>539</v>
      </c>
      <c r="D16" s="15">
        <v>46183</v>
      </c>
    </row>
    <row r="17" spans="1:4" ht="13.5" x14ac:dyDescent="0.25">
      <c r="A17" s="12"/>
      <c r="B17" s="12"/>
      <c r="C17" s="12"/>
      <c r="D17" s="12"/>
    </row>
    <row r="18" spans="1:4" ht="13.5" x14ac:dyDescent="0.25">
      <c r="A18" s="12"/>
      <c r="B18" s="12"/>
      <c r="C18" s="12"/>
      <c r="D18" s="12"/>
    </row>
  </sheetData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_Comment xmlns="871dfa34-b462-4ab5-870e-413a685da783" xsi:nil="true"/>
    <TaxCatchAll xmlns="871dfa34-b462-4ab5-870e-413a685da783" xsi:nil="true"/>
    <gc06573ca7c44871a3b01e9beb74df01 xmlns="871dfa34-b462-4ab5-870e-413a685da783">
      <Terms xmlns="http://schemas.microsoft.com/office/infopath/2007/PartnerControls"/>
    </gc06573ca7c44871a3b01e9beb74df01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nternal project document" ma:contentTypeID="0x0101E001004CBB5352CE36B74399EEA10EA39A07C7" ma:contentTypeVersion="7" ma:contentTypeDescription="Frauscher internal project document" ma:contentTypeScope="" ma:versionID="30dfe78929a094378c333da4d40f3761">
  <xsd:schema xmlns:xsd="http://www.w3.org/2001/XMLSchema" xmlns:xs="http://www.w3.org/2001/XMLSchema" xmlns:p="http://schemas.microsoft.com/office/2006/metadata/properties" xmlns:ns2="871dfa34-b462-4ab5-870e-413a685da783" xmlns:ns3="4f209067-5553-493e-a1f2-83c75361b1e8" targetNamespace="http://schemas.microsoft.com/office/2006/metadata/properties" ma:root="true" ma:fieldsID="fbc23728e0791ab69f4086f229c5540a" ns2:_="" ns3:_="">
    <xsd:import namespace="871dfa34-b462-4ab5-870e-413a685da783"/>
    <xsd:import namespace="4f209067-5553-493e-a1f2-83c75361b1e8"/>
    <xsd:element name="properties">
      <xsd:complexType>
        <xsd:sequence>
          <xsd:element name="documentManagement">
            <xsd:complexType>
              <xsd:all>
                <xsd:element ref="ns2:FR_Comment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2:gc06573ca7c44871a3b01e9beb74df01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1dfa34-b462-4ab5-870e-413a685da783" elementFormDefault="qualified">
    <xsd:import namespace="http://schemas.microsoft.com/office/2006/documentManagement/types"/>
    <xsd:import namespace="http://schemas.microsoft.com/office/infopath/2007/PartnerControls"/>
    <xsd:element name="FR_Comment" ma:index="8" nillable="true" ma:displayName="Comment" ma:internalName="FR_Comment">
      <xsd:simpleType>
        <xsd:restriction base="dms:Note">
          <xsd:maxLength value="255"/>
        </xsd:restriction>
      </xsd:simpleType>
    </xsd:element>
    <xsd:element name="gc06573ca7c44871a3b01e9beb74df01" ma:index="13" nillable="true" ma:taxonomy="true" ma:internalName="gc06573ca7c44871a3b01e9beb74df01" ma:taxonomyFieldName="FR_State" ma:displayName="State" ma:default="" ma:fieldId="{0c06573c-a7c4-4871-a3b0-1e9beb74df01}" ma:sspId="60b91ace-2269-4f60-a9d0-656be1676b7c" ma:termSetId="1356281a-cf57-4871-81b3-5c368d0efeb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30d8334-b500-45f3-805d-6b1e8b983391}" ma:internalName="TaxCatchAll" ma:showField="CatchAllData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030d8334-b500-45f3-805d-6b1e8b983391}" ma:internalName="TaxCatchAllLabel" ma:readOnly="true" ma:showField="CatchAllDataLabel" ma:web="871dfa34-b462-4ab5-870e-413a685da7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209067-5553-493e-a1f2-83c75361b1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438316-4700-42F2-8400-63B1B5D7FC43}">
  <ds:schemaRefs>
    <ds:schemaRef ds:uri="http://schemas.microsoft.com/office/2006/metadata/properties"/>
    <ds:schemaRef ds:uri="http://schemas.microsoft.com/office/infopath/2007/PartnerControls"/>
    <ds:schemaRef ds:uri="871dfa34-b462-4ab5-870e-413a685da783"/>
  </ds:schemaRefs>
</ds:datastoreItem>
</file>

<file path=customXml/itemProps2.xml><?xml version="1.0" encoding="utf-8"?>
<ds:datastoreItem xmlns:ds="http://schemas.openxmlformats.org/officeDocument/2006/customXml" ds:itemID="{ACD7A2A4-1860-429E-9FEC-A4E5853CAE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60ACA8-86A0-4C09-B645-9D121D533A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1dfa34-b462-4ab5-870e-413a685da783"/>
    <ds:schemaRef ds:uri="4f209067-5553-493e-a1f2-83c75361b1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Cover Page</vt:lpstr>
      <vt:lpstr>PDQ</vt:lpstr>
      <vt:lpstr>CQ-IR</vt:lpstr>
      <vt:lpstr>Control table</vt:lpstr>
      <vt:lpstr>Data transmission Inputs</vt:lpstr>
      <vt:lpstr>Design Questionnaire</vt:lpstr>
      <vt:lpstr>Annexure 1</vt:lpstr>
      <vt:lpstr>Legend</vt:lpstr>
      <vt:lpstr>DD List</vt:lpstr>
      <vt:lpstr>Revision History</vt:lpstr>
      <vt:lpstr>'Design Questionnaire'!Print_Area</vt:lpstr>
      <vt:lpstr>'Design Questionnaire'!Print_Titles</vt:lpstr>
    </vt:vector>
  </TitlesOfParts>
  <Manager/>
  <Company>Frauscher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Poomani Natarajan</dc:creator>
  <cp:keywords/>
  <dc:description/>
  <cp:lastModifiedBy>Suresh Are</cp:lastModifiedBy>
  <cp:revision/>
  <cp:lastPrinted>2026-05-12T06:57:14Z</cp:lastPrinted>
  <dcterms:created xsi:type="dcterms:W3CDTF">2024-09-14T01:17:48Z</dcterms:created>
  <dcterms:modified xsi:type="dcterms:W3CDTF">2026-06-10T13:44:48Z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0x0101E001004CBB5352CE36B74399EEA10EA39A07C7</vt:lpwstr>
  </property>
  <property fmtid="{D5CDD505-2E9C-101B-9397-08002B2CF9AE}" pid="3" name="FR_State">
    <vt:lpwstr/>
  </property>
</Properties>
</file>